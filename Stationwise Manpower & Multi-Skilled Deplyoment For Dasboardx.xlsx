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tables/table17.xml" ContentType="application/vnd.openxmlformats-officedocument.spreadsheetml.table+xml"/>
  <Override PartName="/xl/tables/table18.xml" ContentType="application/vnd.openxmlformats-officedocument.spreadsheetml.table+xml"/>
  <Override PartName="/xl/tables/table19.xml" ContentType="application/vnd.openxmlformats-officedocument.spreadsheetml.table+xml"/>
  <Override PartName="/xl/tables/table20.xml" ContentType="application/vnd.openxmlformats-officedocument.spreadsheetml.table+xml"/>
  <Override PartName="/xl/tables/table21.xml" ContentType="application/vnd.openxmlformats-officedocument.spreadsheetml.table+xml"/>
  <Override PartName="/xl/tables/table22.xml" ContentType="application/vnd.openxmlformats-officedocument.spreadsheetml.table+xml"/>
  <Override PartName="/xl/tables/table23.xml" ContentType="application/vnd.openxmlformats-officedocument.spreadsheetml.table+xml"/>
  <Override PartName="/xl/tables/table24.xml" ContentType="application/vnd.openxmlformats-officedocument.spreadsheetml.table+xml"/>
  <Override PartName="/xl/tables/table25.xml" ContentType="application/vnd.openxmlformats-officedocument.spreadsheetml.table+xml"/>
  <Override PartName="/xl/tables/table26.xml" ContentType="application/vnd.openxmlformats-officedocument.spreadsheetml.table+xml"/>
  <Override PartName="/xl/tables/table27.xml" ContentType="application/vnd.openxmlformats-officedocument.spreadsheetml.table+xml"/>
  <Override PartName="/xl/tables/table28.xml" ContentType="application/vnd.openxmlformats-officedocument.spreadsheetml.table+xml"/>
  <Override PartName="/xl/tables/table29.xml" ContentType="application/vnd.openxmlformats-officedocument.spreadsheetml.table+xml"/>
  <Override PartName="/xl/tables/table30.xml" ContentType="application/vnd.openxmlformats-officedocument.spreadsheetml.table+xml"/>
  <Override PartName="/xl/tables/table31.xml" ContentType="application/vnd.openxmlformats-officedocument.spreadsheetml.table+xml"/>
  <Override PartName="/xl/tables/table32.xml" ContentType="application/vnd.openxmlformats-officedocument.spreadsheetml.table+xml"/>
  <Override PartName="/xl/tables/table33.xml" ContentType="application/vnd.openxmlformats-officedocument.spreadsheetml.table+xml"/>
  <Override PartName="/xl/tables/table34.xml" ContentType="application/vnd.openxmlformats-officedocument.spreadsheetml.table+xml"/>
  <Override PartName="/xl/tables/table35.xml" ContentType="application/vnd.openxmlformats-officedocument.spreadsheetml.table+xml"/>
  <Override PartName="/xl/tables/table36.xml" ContentType="application/vnd.openxmlformats-officedocument.spreadsheetml.table+xml"/>
  <Override PartName="/xl/tables/table37.xml" ContentType="application/vnd.openxmlformats-officedocument.spreadsheetml.table+xml"/>
  <Override PartName="/xl/tables/table38.xml" ContentType="application/vnd.openxmlformats-officedocument.spreadsheetml.table+xml"/>
  <Override PartName="/xl/tables/table39.xml" ContentType="application/vnd.openxmlformats-officedocument.spreadsheetml.table+xml"/>
  <Override PartName="/xl/tables/table40.xml" ContentType="application/vnd.openxmlformats-officedocument.spreadsheetml.table+xml"/>
  <Override PartName="/xl/tables/table41.xml" ContentType="application/vnd.openxmlformats-officedocument.spreadsheetml.table+xml"/>
  <Override PartName="/xl/tables/table42.xml" ContentType="application/vnd.openxmlformats-officedocument.spreadsheetml.table+xml"/>
  <Override PartName="/xl/tables/table43.xml" ContentType="application/vnd.openxmlformats-officedocument.spreadsheetml.table+xml"/>
  <Override PartName="/xl/tables/table44.xml" ContentType="application/vnd.openxmlformats-officedocument.spreadsheetml.table+xml"/>
  <Override PartName="/xl/tables/table45.xml" ContentType="application/vnd.openxmlformats-officedocument.spreadsheetml.table+xml"/>
  <Override PartName="/xl/tables/table46.xml" ContentType="application/vnd.openxmlformats-officedocument.spreadsheetml.table+xml"/>
  <Override PartName="/xl/tables/table47.xml" ContentType="application/vnd.openxmlformats-officedocument.spreadsheetml.table+xml"/>
  <Override PartName="/xl/tables/table48.xml" ContentType="application/vnd.openxmlformats-officedocument.spreadsheetml.table+xml"/>
  <Override PartName="/xl/tables/table49.xml" ContentType="application/vnd.openxmlformats-officedocument.spreadsheetml.table+xml"/>
  <Override PartName="/xl/tables/table50.xml" ContentType="application/vnd.openxmlformats-officedocument.spreadsheetml.table+xml"/>
  <Override PartName="/xl/tables/table51.xml" ContentType="application/vnd.openxmlformats-officedocument.spreadsheetml.table+xml"/>
  <Override PartName="/xl/tables/table52.xml" ContentType="application/vnd.openxmlformats-officedocument.spreadsheetml.table+xml"/>
  <Override PartName="/xl/tables/table53.xml" ContentType="application/vnd.openxmlformats-officedocument.spreadsheetml.table+xml"/>
  <Override PartName="/xl/tables/table54.xml" ContentType="application/vnd.openxmlformats-officedocument.spreadsheetml.table+xml"/>
  <Override PartName="/xl/tables/table55.xml" ContentType="application/vnd.openxmlformats-officedocument.spreadsheetml.table+xml"/>
  <Override PartName="/xl/tables/table56.xml" ContentType="application/vnd.openxmlformats-officedocument.spreadsheetml.table+xml"/>
  <Override PartName="/xl/tables/table57.xml" ContentType="application/vnd.openxmlformats-officedocument.spreadsheetml.table+xml"/>
  <Override PartName="/xl/tables/table58.xml" ContentType="application/vnd.openxmlformats-officedocument.spreadsheetml.table+xml"/>
  <Override PartName="/xl/tables/table59.xml" ContentType="application/vnd.openxmlformats-officedocument.spreadsheetml.table+xml"/>
  <Override PartName="/xl/tables/table60.xml" ContentType="application/vnd.openxmlformats-officedocument.spreadsheetml.table+xml"/>
  <Override PartName="/xl/tables/table61.xml" ContentType="application/vnd.openxmlformats-officedocument.spreadsheetml.table+xml"/>
  <Override PartName="/xl/tables/table62.xml" ContentType="application/vnd.openxmlformats-officedocument.spreadsheetml.table+xml"/>
  <Override PartName="/xl/tables/table63.xml" ContentType="application/vnd.openxmlformats-officedocument.spreadsheetml.table+xml"/>
  <Override PartName="/xl/tables/table64.xml" ContentType="application/vnd.openxmlformats-officedocument.spreadsheetml.table+xml"/>
  <Override PartName="/xl/tables/table65.xml" ContentType="application/vnd.openxmlformats-officedocument.spreadsheetml.table+xml"/>
  <Override PartName="/xl/tables/table66.xml" ContentType="application/vnd.openxmlformats-officedocument.spreadsheetml.table+xml"/>
  <Override PartName="/xl/tables/table67.xml" ContentType="application/vnd.openxmlformats-officedocument.spreadsheetml.table+xml"/>
  <Override PartName="/xl/tables/table68.xml" ContentType="application/vnd.openxmlformats-officedocument.spreadsheetml.table+xml"/>
  <Override PartName="/xl/tables/table69.xml" ContentType="application/vnd.openxmlformats-officedocument.spreadsheetml.table+xml"/>
  <Override PartName="/xl/tables/table70.xml" ContentType="application/vnd.openxmlformats-officedocument.spreadsheetml.table+xml"/>
  <Override PartName="/xl/tables/table71.xml" ContentType="application/vnd.openxmlformats-officedocument.spreadsheetml.table+xml"/>
  <Override PartName="/xl/tables/table72.xml" ContentType="application/vnd.openxmlformats-officedocument.spreadsheetml.table+xml"/>
  <Override PartName="/xl/tables/table73.xml" ContentType="application/vnd.openxmlformats-officedocument.spreadsheetml.table+xml"/>
  <Override PartName="/xl/tables/table74.xml" ContentType="application/vnd.openxmlformats-officedocument.spreadsheetml.table+xml"/>
  <Override PartName="/xl/tables/table75.xml" ContentType="application/vnd.openxmlformats-officedocument.spreadsheetml.table+xml"/>
  <Override PartName="/xl/tables/table76.xml" ContentType="application/vnd.openxmlformats-officedocument.spreadsheetml.table+xml"/>
  <Override PartName="/xl/tables/table77.xml" ContentType="application/vnd.openxmlformats-officedocument.spreadsheetml.table+xml"/>
  <Override PartName="/xl/tables/table78.xml" ContentType="application/vnd.openxmlformats-officedocument.spreadsheetml.table+xml"/>
  <Override PartName="/xl/tables/table79.xml" ContentType="application/vnd.openxmlformats-officedocument.spreadsheetml.table+xml"/>
  <Override PartName="/xl/tables/table80.xml" ContentType="application/vnd.openxmlformats-officedocument.spreadsheetml.table+xml"/>
  <Override PartName="/xl/tables/table81.xml" ContentType="application/vnd.openxmlformats-officedocument.spreadsheetml.table+xml"/>
  <Override PartName="/xl/tables/table82.xml" ContentType="application/vnd.openxmlformats-officedocument.spreadsheetml.table+xml"/>
  <Override PartName="/xl/tables/table83.xml" ContentType="application/vnd.openxmlformats-officedocument.spreadsheetml.table+xml"/>
  <Override PartName="/xl/tables/table84.xml" ContentType="application/vnd.openxmlformats-officedocument.spreadsheetml.table+xml"/>
  <Override PartName="/xl/tables/table85.xml" ContentType="application/vnd.openxmlformats-officedocument.spreadsheetml.table+xml"/>
  <Override PartName="/xl/tables/table86.xml" ContentType="application/vnd.openxmlformats-officedocument.spreadsheetml.table+xml"/>
  <Override PartName="/xl/tables/table87.xml" ContentType="application/vnd.openxmlformats-officedocument.spreadsheetml.table+xml"/>
  <Override PartName="/xl/tables/table88.xml" ContentType="application/vnd.openxmlformats-officedocument.spreadsheetml.table+xml"/>
  <Override PartName="/xl/tables/table89.xml" ContentType="application/vnd.openxmlformats-officedocument.spreadsheetml.table+xml"/>
  <Override PartName="/xl/tables/table90.xml" ContentType="application/vnd.openxmlformats-officedocument.spreadsheetml.table+xml"/>
  <Override PartName="/xl/tables/table91.xml" ContentType="application/vnd.openxmlformats-officedocument.spreadsheetml.table+xml"/>
  <Override PartName="/xl/tables/table92.xml" ContentType="application/vnd.openxmlformats-officedocument.spreadsheetml.table+xml"/>
  <Override PartName="/xl/tables/table93.xml" ContentType="application/vnd.openxmlformats-officedocument.spreadsheetml.table+xml"/>
  <Override PartName="/xl/tables/table94.xml" ContentType="application/vnd.openxmlformats-officedocument.spreadsheetml.table+xml"/>
  <Override PartName="/xl/tables/table95.xml" ContentType="application/vnd.openxmlformats-officedocument.spreadsheetml.table+xml"/>
  <Override PartName="/xl/tables/table96.xml" ContentType="application/vnd.openxmlformats-officedocument.spreadsheetml.table+xml"/>
  <Override PartName="/xl/tables/table97.xml" ContentType="application/vnd.openxmlformats-officedocument.spreadsheetml.table+xml"/>
  <Override PartName="/xl/tables/table98.xml" ContentType="application/vnd.openxmlformats-officedocument.spreadsheetml.table+xml"/>
  <Override PartName="/xl/tables/table99.xml" ContentType="application/vnd.openxmlformats-officedocument.spreadsheetml.table+xml"/>
  <Override PartName="/xl/tables/table100.xml" ContentType="application/vnd.openxmlformats-officedocument.spreadsheetml.table+xml"/>
  <Override PartName="/xl/tables/table101.xml" ContentType="application/vnd.openxmlformats-officedocument.spreadsheetml.table+xml"/>
  <Override PartName="/xl/tables/table102.xml" ContentType="application/vnd.openxmlformats-officedocument.spreadsheetml.table+xml"/>
  <Override PartName="/xl/tables/table103.xml" ContentType="application/vnd.openxmlformats-officedocument.spreadsheetml.table+xml"/>
  <Override PartName="/xl/tables/table104.xml" ContentType="application/vnd.openxmlformats-officedocument.spreadsheetml.table+xml"/>
  <Override PartName="/xl/tables/table105.xml" ContentType="application/vnd.openxmlformats-officedocument.spreadsheetml.table+xml"/>
  <Override PartName="/xl/tables/table106.xml" ContentType="application/vnd.openxmlformats-officedocument.spreadsheetml.table+xml"/>
  <Override PartName="/xl/tables/table107.xml" ContentType="application/vnd.openxmlformats-officedocument.spreadsheetml.table+xml"/>
  <Override PartName="/xl/tables/table108.xml" ContentType="application/vnd.openxmlformats-officedocument.spreadsheetml.table+xml"/>
  <Override PartName="/xl/tables/table109.xml" ContentType="application/vnd.openxmlformats-officedocument.spreadsheetml.table+xml"/>
  <Override PartName="/xl/tables/table110.xml" ContentType="application/vnd.openxmlformats-officedocument.spreadsheetml.table+xml"/>
  <Override PartName="/xl/tables/table111.xml" ContentType="application/vnd.openxmlformats-officedocument.spreadsheetml.table+xml"/>
  <Override PartName="/xl/tables/table112.xml" ContentType="application/vnd.openxmlformats-officedocument.spreadsheetml.table+xml"/>
  <Override PartName="/xl/tables/table113.xml" ContentType="application/vnd.openxmlformats-officedocument.spreadsheetml.table+xml"/>
  <Override PartName="/xl/tables/table114.xml" ContentType="application/vnd.openxmlformats-officedocument.spreadsheetml.table+xml"/>
  <Override PartName="/xl/tables/table115.xml" ContentType="application/vnd.openxmlformats-officedocument.spreadsheetml.table+xml"/>
  <Override PartName="/xl/tables/table116.xml" ContentType="application/vnd.openxmlformats-officedocument.spreadsheetml.table+xml"/>
  <Override PartName="/xl/tables/table117.xml" ContentType="application/vnd.openxmlformats-officedocument.spreadsheetml.table+xml"/>
  <Override PartName="/xl/tables/table118.xml" ContentType="application/vnd.openxmlformats-officedocument.spreadsheetml.table+xml"/>
  <Override PartName="/xl/tables/table119.xml" ContentType="application/vnd.openxmlformats-officedocument.spreadsheetml.table+xml"/>
  <Override PartName="/xl/tables/table120.xml" ContentType="application/vnd.openxmlformats-officedocument.spreadsheetml.table+xml"/>
  <Override PartName="/xl/tables/table121.xml" ContentType="application/vnd.openxmlformats-officedocument.spreadsheetml.table+xml"/>
  <Override PartName="/xl/tables/table122.xml" ContentType="application/vnd.openxmlformats-officedocument.spreadsheetml.table+xml"/>
  <Override PartName="/xl/tables/table123.xml" ContentType="application/vnd.openxmlformats-officedocument.spreadsheetml.table+xml"/>
  <Override PartName="/xl/tables/table124.xml" ContentType="application/vnd.openxmlformats-officedocument.spreadsheetml.table+xml"/>
  <Override PartName="/xl/tables/table125.xml" ContentType="application/vnd.openxmlformats-officedocument.spreadsheetml.table+xml"/>
  <Override PartName="/xl/tables/table126.xml" ContentType="application/vnd.openxmlformats-officedocument.spreadsheetml.table+xml"/>
  <Override PartName="/xl/tables/table127.xml" ContentType="application/vnd.openxmlformats-officedocument.spreadsheetml.table+xml"/>
  <Override PartName="/xl/tables/table128.xml" ContentType="application/vnd.openxmlformats-officedocument.spreadsheetml.table+xml"/>
  <Override PartName="/xl/tables/table129.xml" ContentType="application/vnd.openxmlformats-officedocument.spreadsheetml.table+xml"/>
  <Override PartName="/xl/tables/table130.xml" ContentType="application/vnd.openxmlformats-officedocument.spreadsheetml.table+xml"/>
  <Override PartName="/xl/tables/table131.xml" ContentType="application/vnd.openxmlformats-officedocument.spreadsheetml.table+xml"/>
  <Override PartName="/xl/tables/table132.xml" ContentType="application/vnd.openxmlformats-officedocument.spreadsheetml.table+xml"/>
  <Override PartName="/xl/tables/table133.xml" ContentType="application/vnd.openxmlformats-officedocument.spreadsheetml.table+xml"/>
  <Override PartName="/xl/tables/table134.xml" ContentType="application/vnd.openxmlformats-officedocument.spreadsheetml.table+xml"/>
  <Override PartName="/xl/tables/table135.xml" ContentType="application/vnd.openxmlformats-officedocument.spreadsheetml.table+xml"/>
  <Override PartName="/xl/tables/table136.xml" ContentType="application/vnd.openxmlformats-officedocument.spreadsheetml.table+xml"/>
  <Override PartName="/xl/tables/table137.xml" ContentType="application/vnd.openxmlformats-officedocument.spreadsheetml.table+xml"/>
  <Override PartName="/xl/tables/table138.xml" ContentType="application/vnd.openxmlformats-officedocument.spreadsheetml.table+xml"/>
  <Override PartName="/xl/tables/table139.xml" ContentType="application/vnd.openxmlformats-officedocument.spreadsheetml.table+xml"/>
  <Override PartName="/xl/tables/table140.xml" ContentType="application/vnd.openxmlformats-officedocument.spreadsheetml.table+xml"/>
  <Override PartName="/xl/tables/table141.xml" ContentType="application/vnd.openxmlformats-officedocument.spreadsheetml.table+xml"/>
  <Override PartName="/xl/tables/table142.xml" ContentType="application/vnd.openxmlformats-officedocument.spreadsheetml.table+xml"/>
  <Override PartName="/xl/tables/table143.xml" ContentType="application/vnd.openxmlformats-officedocument.spreadsheetml.table+xml"/>
  <Override PartName="/xl/tables/table144.xml" ContentType="application/vnd.openxmlformats-officedocument.spreadsheetml.table+xml"/>
  <Override PartName="/xl/tables/table145.xml" ContentType="application/vnd.openxmlformats-officedocument.spreadsheetml.table+xml"/>
  <Override PartName="/xl/tables/table146.xml" ContentType="application/vnd.openxmlformats-officedocument.spreadsheetml.table+xml"/>
  <Override PartName="/xl/tables/table147.xml" ContentType="application/vnd.openxmlformats-officedocument.spreadsheetml.table+xml"/>
  <Override PartName="/xl/tables/table148.xml" ContentType="application/vnd.openxmlformats-officedocument.spreadsheetml.table+xml"/>
  <Override PartName="/xl/tables/table149.xml" ContentType="application/vnd.openxmlformats-officedocument.spreadsheetml.table+xml"/>
  <Override PartName="/xl/tables/table150.xml" ContentType="application/vnd.openxmlformats-officedocument.spreadsheetml.table+xml"/>
  <Override PartName="/xl/tables/table151.xml" ContentType="application/vnd.openxmlformats-officedocument.spreadsheetml.table+xml"/>
  <Override PartName="/xl/tables/table152.xml" ContentType="application/vnd.openxmlformats-officedocument.spreadsheetml.table+xml"/>
  <Override PartName="/xl/tables/table153.xml" ContentType="application/vnd.openxmlformats-officedocument.spreadsheetml.table+xml"/>
  <Override PartName="/xl/tables/table154.xml" ContentType="application/vnd.openxmlformats-officedocument.spreadsheetml.table+xml"/>
  <Override PartName="/xl/tables/table155.xml" ContentType="application/vnd.openxmlformats-officedocument.spreadsheetml.table+xml"/>
  <Override PartName="/xl/tables/table156.xml" ContentType="application/vnd.openxmlformats-officedocument.spreadsheetml.table+xml"/>
  <Override PartName="/xl/tables/table157.xml" ContentType="application/vnd.openxmlformats-officedocument.spreadsheetml.table+xml"/>
  <Override PartName="/xl/tables/table158.xml" ContentType="application/vnd.openxmlformats-officedocument.spreadsheetml.table+xml"/>
  <Override PartName="/xl/tables/table159.xml" ContentType="application/vnd.openxmlformats-officedocument.spreadsheetml.table+xml"/>
  <Override PartName="/xl/tables/table160.xml" ContentType="application/vnd.openxmlformats-officedocument.spreadsheetml.table+xml"/>
  <Override PartName="/xl/tables/table16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https://d.docs.live.net/5292ff70b3a90aeb/Desktop/Compal Attendance Dashboard/OP-Management/"/>
    </mc:Choice>
  </mc:AlternateContent>
  <xr:revisionPtr revIDLastSave="4" documentId="13_ncr:1_{81A274D0-AA74-4979-88E2-A5D1504B8777}" xr6:coauthVersionLast="47" xr6:coauthVersionMax="47" xr10:uidLastSave="{0D7F3A29-4823-4A42-9B47-826596190F95}"/>
  <bookViews>
    <workbookView xWindow="-108" yWindow="-108" windowWidth="23256" windowHeight="12456" firstSheet="1" activeTab="1" xr2:uid="{00000000-000D-0000-FFFF-FFFF00000000}"/>
  </bookViews>
  <sheets>
    <sheet name="T2 " sheetId="2" state="hidden" r:id="rId1"/>
    <sheet name="Master Sheet" sheetId="4" r:id="rId2"/>
  </sheets>
  <calcPr calcId="191029"/>
  <extLst>
    <ext uri="GoogleSheetsCustomDataVersion2">
      <go:sheetsCustomData xmlns:go="http://customooxmlschemas.google.com/" r:id="rId8" roundtripDataChecksum="RmYNNPvCbeue8BTdnHirwUnCa/1tv55kRsFeqzQ+oqI="/>
    </ext>
  </extLst>
</workbook>
</file>

<file path=xl/calcChain.xml><?xml version="1.0" encoding="utf-8"?>
<calcChain xmlns="http://schemas.openxmlformats.org/spreadsheetml/2006/main">
  <c r="R146" i="4" l="1"/>
  <c r="M146" i="4"/>
  <c r="H146" i="4"/>
  <c r="R145" i="4"/>
  <c r="M145" i="4"/>
  <c r="H145" i="4"/>
  <c r="R144" i="4"/>
  <c r="M144" i="4"/>
  <c r="H144" i="4"/>
  <c r="R143" i="4"/>
  <c r="M143" i="4"/>
  <c r="H143" i="4"/>
  <c r="R142" i="4"/>
  <c r="M142" i="4"/>
  <c r="H142" i="4"/>
  <c r="R141" i="4"/>
  <c r="M141" i="4"/>
  <c r="H141" i="4"/>
  <c r="R140" i="4"/>
  <c r="M140" i="4"/>
  <c r="H140" i="4"/>
  <c r="R139" i="4"/>
  <c r="M139" i="4"/>
  <c r="H139" i="4"/>
  <c r="R138" i="4"/>
  <c r="M138" i="4"/>
  <c r="H138" i="4"/>
  <c r="R137" i="4"/>
  <c r="M137" i="4"/>
  <c r="H137" i="4"/>
  <c r="R136" i="4"/>
  <c r="M136" i="4"/>
  <c r="H136" i="4"/>
  <c r="R135" i="4"/>
  <c r="M135" i="4"/>
  <c r="H135" i="4"/>
  <c r="R134" i="4"/>
  <c r="M134" i="4"/>
  <c r="H134" i="4"/>
  <c r="R133" i="4"/>
  <c r="M133" i="4"/>
  <c r="H133" i="4"/>
  <c r="R132" i="4"/>
  <c r="M132" i="4"/>
  <c r="H132" i="4"/>
  <c r="R131" i="4"/>
  <c r="M131" i="4"/>
  <c r="H131" i="4"/>
  <c r="R130" i="4"/>
  <c r="M130" i="4"/>
  <c r="H130" i="4"/>
  <c r="R129" i="4"/>
  <c r="M129" i="4"/>
  <c r="H129" i="4"/>
  <c r="R128" i="4"/>
  <c r="M128" i="4"/>
  <c r="H128" i="4"/>
  <c r="R127" i="4"/>
  <c r="M127" i="4"/>
  <c r="H127" i="4"/>
  <c r="R126" i="4"/>
  <c r="M126" i="4"/>
  <c r="H126" i="4"/>
  <c r="W125" i="4"/>
  <c r="R125" i="4"/>
  <c r="M125" i="4"/>
  <c r="H125" i="4"/>
  <c r="R124" i="4"/>
  <c r="M124" i="4"/>
  <c r="H124" i="4"/>
  <c r="R123" i="4"/>
  <c r="M123" i="4"/>
  <c r="H123" i="4"/>
  <c r="W122" i="4"/>
  <c r="R122" i="4"/>
  <c r="M122" i="4"/>
  <c r="H122" i="4"/>
  <c r="W121" i="4"/>
  <c r="R121" i="4"/>
  <c r="M121" i="4"/>
  <c r="H121" i="4"/>
  <c r="R120" i="4"/>
  <c r="M120" i="4"/>
  <c r="H120" i="4"/>
  <c r="R119" i="4"/>
  <c r="M119" i="4"/>
  <c r="H119" i="4"/>
  <c r="W118" i="4"/>
  <c r="R118" i="4"/>
  <c r="M118" i="4"/>
  <c r="H118" i="4"/>
  <c r="R117" i="4"/>
  <c r="M117" i="4"/>
  <c r="H117" i="4"/>
  <c r="W116" i="4"/>
  <c r="R116" i="4"/>
  <c r="M116" i="4"/>
  <c r="H116" i="4"/>
  <c r="R115" i="4"/>
  <c r="M115" i="4"/>
  <c r="H115" i="4"/>
  <c r="W114" i="4"/>
  <c r="R114" i="4"/>
  <c r="M114" i="4"/>
  <c r="H114" i="4"/>
  <c r="W113" i="4"/>
  <c r="R113" i="4"/>
  <c r="M113" i="4"/>
  <c r="H113" i="4"/>
  <c r="R112" i="4"/>
  <c r="M112" i="4"/>
  <c r="H112" i="4"/>
  <c r="R111" i="4"/>
  <c r="M111" i="4"/>
  <c r="H111" i="4"/>
  <c r="R110" i="4"/>
  <c r="M110" i="4"/>
  <c r="H110" i="4"/>
  <c r="W109" i="4"/>
  <c r="R109" i="4"/>
  <c r="M109" i="4"/>
  <c r="H109" i="4"/>
  <c r="W108" i="4"/>
  <c r="R108" i="4"/>
  <c r="M108" i="4"/>
  <c r="H108" i="4"/>
  <c r="W107" i="4"/>
  <c r="R107" i="4"/>
  <c r="M107" i="4"/>
  <c r="H107" i="4"/>
  <c r="R106" i="4"/>
  <c r="M106" i="4"/>
  <c r="H106" i="4"/>
  <c r="W105" i="4"/>
  <c r="R105" i="4"/>
  <c r="M105" i="4"/>
  <c r="H105" i="4"/>
  <c r="W104" i="4"/>
  <c r="R104" i="4"/>
  <c r="M104" i="4"/>
  <c r="H104" i="4"/>
  <c r="R103" i="4"/>
  <c r="M103" i="4"/>
  <c r="H103" i="4"/>
  <c r="M102" i="4"/>
  <c r="H102" i="4"/>
  <c r="M101" i="4"/>
  <c r="H101" i="4"/>
  <c r="M100" i="4"/>
  <c r="H100" i="4"/>
  <c r="M99" i="4"/>
  <c r="H99" i="4"/>
  <c r="M98" i="4"/>
  <c r="H98" i="4"/>
  <c r="M97" i="4"/>
  <c r="H97" i="4"/>
  <c r="M96" i="4"/>
  <c r="H96" i="4"/>
  <c r="M95" i="4"/>
  <c r="H95" i="4"/>
  <c r="M94" i="4"/>
  <c r="H94" i="4"/>
  <c r="M93" i="4"/>
  <c r="H93" i="4"/>
  <c r="M92" i="4"/>
  <c r="H92" i="4"/>
  <c r="M91" i="4"/>
  <c r="H91" i="4"/>
  <c r="M90" i="4"/>
  <c r="H90" i="4"/>
  <c r="M89" i="4"/>
  <c r="H89" i="4"/>
  <c r="M88" i="4"/>
  <c r="H88" i="4"/>
  <c r="M87" i="4"/>
  <c r="H87" i="4"/>
  <c r="M86" i="4"/>
  <c r="H86" i="4"/>
  <c r="M85" i="4"/>
  <c r="H85" i="4"/>
  <c r="M84" i="4"/>
  <c r="H84" i="4"/>
  <c r="M83" i="4"/>
  <c r="H83" i="4"/>
  <c r="M82" i="4"/>
  <c r="H82" i="4"/>
  <c r="M81" i="4"/>
  <c r="H81" i="4"/>
  <c r="M80" i="4"/>
  <c r="H80" i="4"/>
  <c r="M79" i="4"/>
  <c r="H79" i="4"/>
  <c r="M78" i="4"/>
  <c r="H78" i="4"/>
  <c r="M77" i="4"/>
  <c r="H77" i="4"/>
  <c r="M76" i="4"/>
  <c r="H76" i="4"/>
  <c r="M75" i="4"/>
  <c r="H75" i="4"/>
  <c r="M74" i="4"/>
  <c r="H74" i="4"/>
  <c r="M73" i="4"/>
  <c r="H73" i="4"/>
  <c r="M72" i="4"/>
  <c r="H72" i="4"/>
  <c r="M71" i="4"/>
  <c r="H71" i="4"/>
  <c r="M70" i="4"/>
  <c r="H70" i="4"/>
  <c r="M69" i="4"/>
  <c r="H69" i="4"/>
  <c r="M68" i="4"/>
  <c r="H68" i="4"/>
  <c r="M67" i="4"/>
  <c r="H67" i="4"/>
  <c r="M66" i="4"/>
  <c r="H66" i="4"/>
  <c r="M65" i="4"/>
  <c r="H65" i="4"/>
  <c r="M64" i="4"/>
  <c r="H64" i="4"/>
  <c r="M63" i="4"/>
  <c r="H63" i="4"/>
  <c r="M62" i="4"/>
  <c r="H62" i="4"/>
  <c r="M61" i="4"/>
  <c r="H61" i="4"/>
  <c r="M60" i="4"/>
  <c r="H60" i="4"/>
  <c r="M59" i="4"/>
  <c r="H59" i="4"/>
  <c r="M58" i="4"/>
  <c r="H58" i="4"/>
  <c r="M57" i="4"/>
  <c r="H57" i="4"/>
  <c r="M56" i="4"/>
  <c r="H56" i="4"/>
  <c r="M55" i="4"/>
  <c r="H55" i="4"/>
  <c r="M54" i="4"/>
  <c r="H54" i="4"/>
  <c r="M53" i="4"/>
  <c r="H53" i="4"/>
  <c r="M52" i="4"/>
  <c r="H52" i="4"/>
  <c r="M51" i="4"/>
  <c r="H51" i="4"/>
  <c r="M50" i="4"/>
  <c r="H50" i="4"/>
  <c r="M49" i="4"/>
  <c r="H49" i="4"/>
  <c r="M48" i="4"/>
  <c r="H48" i="4"/>
  <c r="M47" i="4"/>
  <c r="H47" i="4"/>
  <c r="M46" i="4"/>
  <c r="H46" i="4"/>
  <c r="M45" i="4"/>
  <c r="H45" i="4"/>
  <c r="M44" i="4"/>
  <c r="H44" i="4"/>
  <c r="M43" i="4"/>
  <c r="H43" i="4"/>
  <c r="M42" i="4"/>
  <c r="H42" i="4"/>
  <c r="M41" i="4"/>
  <c r="H41" i="4"/>
  <c r="M40" i="4"/>
  <c r="H40" i="4"/>
  <c r="M39" i="4"/>
  <c r="H39" i="4"/>
  <c r="H38" i="4"/>
  <c r="M37" i="4"/>
  <c r="H37" i="4"/>
  <c r="M36" i="4"/>
  <c r="H36" i="4"/>
  <c r="M35" i="4"/>
  <c r="H35" i="4"/>
  <c r="M34" i="4"/>
  <c r="H34" i="4"/>
  <c r="M33" i="4"/>
  <c r="H33" i="4"/>
  <c r="M32" i="4"/>
  <c r="H32" i="4"/>
  <c r="M31" i="4"/>
  <c r="H31" i="4"/>
  <c r="M30" i="4"/>
  <c r="H30" i="4"/>
  <c r="M29" i="4"/>
  <c r="H29" i="4"/>
  <c r="M28" i="4"/>
  <c r="H28" i="4"/>
  <c r="M27" i="4"/>
  <c r="H27" i="4"/>
  <c r="M26" i="4"/>
  <c r="H26" i="4"/>
  <c r="M25" i="4"/>
  <c r="H25" i="4"/>
  <c r="M24" i="4"/>
  <c r="H24" i="4"/>
  <c r="M23" i="4"/>
  <c r="H23" i="4"/>
  <c r="M22" i="4"/>
  <c r="H22" i="4"/>
  <c r="M21" i="4"/>
  <c r="H21" i="4"/>
  <c r="M20" i="4"/>
  <c r="H20" i="4"/>
  <c r="M19" i="4"/>
  <c r="H19" i="4"/>
  <c r="M18" i="4"/>
  <c r="H18" i="4"/>
  <c r="M17" i="4"/>
  <c r="H17" i="4"/>
  <c r="M16" i="4"/>
  <c r="H16" i="4"/>
  <c r="M15" i="4"/>
  <c r="H15" i="4"/>
  <c r="M14" i="4"/>
  <c r="H14" i="4"/>
  <c r="M13" i="4"/>
  <c r="H13" i="4"/>
  <c r="M12" i="4"/>
  <c r="H12" i="4"/>
  <c r="M11" i="4"/>
  <c r="H11" i="4"/>
  <c r="M10" i="4"/>
  <c r="H10" i="4"/>
  <c r="M9" i="4"/>
  <c r="H9" i="4"/>
  <c r="M8" i="4"/>
  <c r="H8" i="4"/>
  <c r="M7" i="4"/>
  <c r="H7" i="4"/>
  <c r="M6" i="4"/>
  <c r="H6" i="4"/>
  <c r="M5" i="4"/>
  <c r="H5" i="4"/>
  <c r="M4" i="4"/>
  <c r="H4" i="4"/>
</calcChain>
</file>

<file path=xl/sharedStrings.xml><?xml version="1.0" encoding="utf-8"?>
<sst xmlns="http://schemas.openxmlformats.org/spreadsheetml/2006/main" count="976" uniqueCount="409">
  <si>
    <t xml:space="preserve"> </t>
  </si>
  <si>
    <t>Stations</t>
  </si>
  <si>
    <t>Station QPL</t>
  </si>
  <si>
    <t>Name</t>
  </si>
  <si>
    <t>ID</t>
  </si>
  <si>
    <t xml:space="preserve">DOJ </t>
  </si>
  <si>
    <t>Certification Date 
（dd-mm-yyyy)</t>
  </si>
  <si>
    <t xml:space="preserve">Multi-Skill OPs </t>
  </si>
  <si>
    <t>CG</t>
  </si>
  <si>
    <t>CG1 Input (Link)</t>
  </si>
  <si>
    <t>FMS load</t>
  </si>
  <si>
    <t>Manual buckle UDFPS flex with Display ZIF</t>
  </si>
  <si>
    <t>Manual ass’y Kapton on Display ZIF &amp; CCD Check</t>
  </si>
  <si>
    <t>POOJA</t>
  </si>
  <si>
    <t>FMS unload</t>
  </si>
  <si>
    <t>Display flex pre-bend #1</t>
  </si>
  <si>
    <t>Display flex pre-bend #2</t>
  </si>
  <si>
    <t>-Assy VC protection case'</t>
  </si>
  <si>
    <t>Nandani</t>
  </si>
  <si>
    <t>Remove VC protection case</t>
  </si>
  <si>
    <t>Seema</t>
  </si>
  <si>
    <t>Enclosure &amp; CG Clean (Link)</t>
  </si>
  <si>
    <t>shivanshi</t>
  </si>
  <si>
    <t>Enclosure LDA dispensing + SA-AOI-CGM + CG to Enclosure (Link)</t>
  </si>
  <si>
    <t>Archana</t>
  </si>
  <si>
    <t>CG room In (Link)</t>
  </si>
  <si>
    <t>Hold Time Check (Link)</t>
  </si>
  <si>
    <t>CG Unclamp (Link)</t>
  </si>
  <si>
    <t>CG room out (Link)</t>
  </si>
  <si>
    <t>SIM tray plunger to Enclosure &amp; Put on Semi device Protection Case</t>
  </si>
  <si>
    <t>SA Airleak CG (Negative)- Load</t>
  </si>
  <si>
    <t>Side Key Flex pre-bend</t>
  </si>
  <si>
    <t>Side Key Flex ass'y sealing rubber &amp; bracket</t>
  </si>
  <si>
    <t>Ass'y Side Key Flex to enclosure &amp; manual fasten screws x3 (Link)</t>
  </si>
  <si>
    <t>Side Key flex tail align</t>
  </si>
  <si>
    <t>Muskan</t>
  </si>
  <si>
    <t>Side Key flex cold press</t>
  </si>
  <si>
    <t>Dis assy protection case &amp; Assy BTM SPK (Link)</t>
  </si>
  <si>
    <t>Payal</t>
  </si>
  <si>
    <t>CG3 SUB packing (Link)</t>
  </si>
  <si>
    <t>Shalini</t>
  </si>
  <si>
    <t>material transfar</t>
  </si>
  <si>
    <t>Aarti</t>
  </si>
  <si>
    <t>Offline</t>
  </si>
  <si>
    <t>Flash LED flex attached to Inner Hsg (Link)</t>
  </si>
  <si>
    <t>Renu</t>
  </si>
  <si>
    <t>NFC/WLC &amp; Mylar &amp; Graphite sheet to Inner-Housing</t>
  </si>
  <si>
    <t>Cold press NFC/WLC flex &amp; Graphite sheet</t>
  </si>
  <si>
    <t>Battery flex pre-bend &amp; ass'y Battery pull jacket</t>
  </si>
  <si>
    <t>Input &amp; Assy MLB holder</t>
  </si>
  <si>
    <t>Kajal</t>
  </si>
  <si>
    <t>ANT4 &amp; ANT5 Coaxial Cable to MLB</t>
  </si>
  <si>
    <t>ANT0, ANT2 &amp; ANT6 coaxial cable to MLB</t>
  </si>
  <si>
    <t>Khushi</t>
  </si>
  <si>
    <t>Kavita</t>
  </si>
  <si>
    <t>Preeti</t>
  </si>
  <si>
    <t>kajal</t>
  </si>
  <si>
    <t>Cable layout optimization</t>
  </si>
  <si>
    <t>Switch holder</t>
  </si>
  <si>
    <t>Ass'y ANT Gasket #1~#7</t>
  </si>
  <si>
    <t>Neelam</t>
  </si>
  <si>
    <t>Cold press ANT Gasket #1~#7</t>
  </si>
  <si>
    <t>Remove ANT Gasket liners x7</t>
  </si>
  <si>
    <t>SOC+Charger IC Thermal Pad to MLB shielding copper foil</t>
  </si>
  <si>
    <t>SIM tray rubber lubricant</t>
  </si>
  <si>
    <t>Washer for MF #6</t>
  </si>
  <si>
    <t>Washer for MF #6 Cold Press</t>
  </si>
  <si>
    <t>MLB input &amp; UW RCAM flex pre-bend (Link)</t>
  </si>
  <si>
    <t>WRAM pre-bend ( Link)</t>
  </si>
  <si>
    <t>Buckle RCAM BTB with MLB &amp; assy PL sensor sponge</t>
  </si>
  <si>
    <t>Bhavna</t>
  </si>
  <si>
    <t>1st cold press RCAM BTB</t>
  </si>
  <si>
    <t>Scan MLB/Enclosure DSN &amp; ass'y protection case (Link)</t>
  </si>
  <si>
    <t>Nisha</t>
  </si>
  <si>
    <t>Remove multiple liners / Tape</t>
  </si>
  <si>
    <t>Sikha</t>
  </si>
  <si>
    <t>E-noise thermal pad *1 to enclosure</t>
  </si>
  <si>
    <t>Display BTB to MLB &amp; MLB Ass’y (Link)</t>
  </si>
  <si>
    <t>Varsha</t>
  </si>
  <si>
    <t>Remove Enclosure Liner &amp; Ass’y SIM tray</t>
  </si>
  <si>
    <t>manual fasten MLB screw x2(Link)</t>
  </si>
  <si>
    <t>FCAM pre-bend &amp; attach FCAM copper foil (Link)</t>
  </si>
  <si>
    <t>FCAM to FCAM Holder, buckle FCAM BTB &amp; attach FCAM copper foil to TSPK</t>
  </si>
  <si>
    <t>Saloni</t>
  </si>
  <si>
    <t>Assay side key &amp; Safety check&amp;Remove BAT PSA Layler</t>
  </si>
  <si>
    <t>Paste LDI on MLB &amp; Side Key flex on top of Battery, Assy Battery BTB</t>
  </si>
  <si>
    <t>Shivani</t>
  </si>
  <si>
    <t>Assy bracket &amp; screws x1</t>
  </si>
  <si>
    <t>Radha</t>
  </si>
  <si>
    <t>Inner Hsg to enclosure (Link)</t>
  </si>
  <si>
    <t>Poonam</t>
  </si>
  <si>
    <t>Cold press Inner Hsg</t>
  </si>
  <si>
    <t>Inner Hsg manual fasten screw X2</t>
  </si>
  <si>
    <t>Inner Hsg auto fasten screws x14(Auto Link)</t>
  </si>
  <si>
    <t>Remove protection case/FATP molding universal Holder</t>
  </si>
  <si>
    <t>BC AP111 dispensing (Auto Link)</t>
  </si>
  <si>
    <t>Remove visor area liner &amp; RCAM Cap Load</t>
  </si>
  <si>
    <t>Assy BC to Mid-Frame by CCD (Link)</t>
  </si>
  <si>
    <t>rakhi</t>
  </si>
  <si>
    <t>BC PSA &amp; visor/lens area cold press</t>
  </si>
  <si>
    <t>BC press (Auto Link)</t>
  </si>
  <si>
    <t>Device Clamping (Link)</t>
  </si>
  <si>
    <t>Device Unclamping (Link)</t>
  </si>
  <si>
    <t>Quick repair</t>
  </si>
  <si>
    <t>Testing</t>
  </si>
  <si>
    <t>FATP-FLASH RE</t>
  </si>
  <si>
    <t>Pawan Rekha</t>
  </si>
  <si>
    <t>FATP-QT-1-MAN (APK)</t>
  </si>
  <si>
    <t>FATP-QT-1-MAN</t>
  </si>
  <si>
    <t>Priyanshi</t>
  </si>
  <si>
    <t>FATP-QT-2 MAN</t>
  </si>
  <si>
    <t>Dimpal</t>
  </si>
  <si>
    <t>FATP-RUNIN</t>
  </si>
  <si>
    <t>Shashi</t>
  </si>
  <si>
    <t>FATP-RUNIN-LOG</t>
  </si>
  <si>
    <t>Pankaj</t>
  </si>
  <si>
    <t>FATP-AUDIO</t>
  </si>
  <si>
    <t>FATP-RF-WIFIBT</t>
  </si>
  <si>
    <t>Manita</t>
  </si>
  <si>
    <t>FATP-RF-CELL</t>
  </si>
  <si>
    <t>FATP-AIRLK-WT</t>
  </si>
  <si>
    <t>FATP-CAM-COMBO-2</t>
  </si>
  <si>
    <t>Moni Pal</t>
  </si>
  <si>
    <t>FATP-CAM-COMBO-3</t>
  </si>
  <si>
    <t>Supriya</t>
  </si>
  <si>
    <t>FATP-IMU-6DOF</t>
  </si>
  <si>
    <t>Chandni</t>
  </si>
  <si>
    <t>FATP-IMU-CAL-THERM(Cabinet cooling System)</t>
  </si>
  <si>
    <t>FATP-IMU-LOG-THERM</t>
  </si>
  <si>
    <t>Shauntala</t>
  </si>
  <si>
    <t>FATP-CAM-OIS</t>
  </si>
  <si>
    <t>Pinki</t>
  </si>
  <si>
    <t>FATP-DISP-CAL</t>
  </si>
  <si>
    <t>Soni Devi</t>
  </si>
  <si>
    <t>FATP-DISP-ARTIFACT</t>
  </si>
  <si>
    <t>FATP-UDFPS</t>
  </si>
  <si>
    <t>FATP-ALSPROX</t>
  </si>
  <si>
    <t>SOC FATP Packing</t>
  </si>
  <si>
    <t>Lakshmi</t>
  </si>
  <si>
    <t>Packout</t>
  </si>
  <si>
    <t>Open Box</t>
  </si>
  <si>
    <t>Acceries Packaging (Pre-Kitting 1)</t>
  </si>
  <si>
    <t>Acceries Packaging (Pre-Kitting 2)</t>
  </si>
  <si>
    <t>Check Battery Volume &amp; Charging</t>
  </si>
  <si>
    <t>shivani</t>
  </si>
  <si>
    <t>Pack-IN</t>
  </si>
  <si>
    <t>PACK-PROV-COMBO</t>
  </si>
  <si>
    <t>Pack-Retail-LE</t>
  </si>
  <si>
    <t>parul</t>
  </si>
  <si>
    <t>Pack-Freset</t>
  </si>
  <si>
    <t>Clean CG/BC</t>
  </si>
  <si>
    <t>Cleaning USB Sockets</t>
  </si>
  <si>
    <t>Sapna</t>
  </si>
  <si>
    <t>OP Loading</t>
  </si>
  <si>
    <t>loading box+ scan doc</t>
  </si>
  <si>
    <t>Loading Phone Into Box</t>
  </si>
  <si>
    <t>RINKI</t>
  </si>
  <si>
    <t>Print-MRP</t>
  </si>
  <si>
    <t>NEHA</t>
  </si>
  <si>
    <t>Packing( for AU-GB-EU-IN)</t>
  </si>
  <si>
    <t>Packing</t>
  </si>
  <si>
    <t>Pack-ACP</t>
  </si>
  <si>
    <t>Pack-Weigh C1 &amp; Print Carton Label(Manual)</t>
  </si>
  <si>
    <t>Pack Paste label</t>
  </si>
  <si>
    <t>vikash</t>
  </si>
  <si>
    <t>Pack-Carton-CK (Manual)</t>
  </si>
  <si>
    <t>Sakshi</t>
  </si>
  <si>
    <t>Rekha</t>
  </si>
  <si>
    <t>Reena</t>
  </si>
  <si>
    <t>Area</t>
  </si>
  <si>
    <t>CTQ/Normal</t>
  </si>
  <si>
    <t>DOJ 
（dd-mm-yyyy)</t>
  </si>
  <si>
    <t xml:space="preserve">CTQ </t>
  </si>
  <si>
    <t>A1</t>
  </si>
  <si>
    <t>A2</t>
  </si>
  <si>
    <t>Sweta</t>
  </si>
  <si>
    <t>A3</t>
  </si>
  <si>
    <t>A4</t>
  </si>
  <si>
    <t>Normal</t>
  </si>
  <si>
    <t>A5</t>
  </si>
  <si>
    <t>A6</t>
  </si>
  <si>
    <t>A7</t>
  </si>
  <si>
    <t>A8</t>
  </si>
  <si>
    <t>A9</t>
  </si>
  <si>
    <t>A10</t>
  </si>
  <si>
    <t>Sadhana</t>
  </si>
  <si>
    <t>A11</t>
  </si>
  <si>
    <t>A12</t>
  </si>
  <si>
    <t>A13</t>
  </si>
  <si>
    <t>A14</t>
  </si>
  <si>
    <t>A15</t>
  </si>
  <si>
    <t>A16</t>
  </si>
  <si>
    <t>A17</t>
  </si>
  <si>
    <t>A18</t>
  </si>
  <si>
    <t>A19</t>
  </si>
  <si>
    <t>A20</t>
  </si>
  <si>
    <t>A21</t>
  </si>
  <si>
    <t>A22</t>
  </si>
  <si>
    <t>Multi Skill OP1</t>
  </si>
  <si>
    <t>Multi Skill OP2</t>
  </si>
  <si>
    <t>Multi Skill OP3</t>
  </si>
  <si>
    <t>Multi Skill OP4</t>
  </si>
  <si>
    <t>Multi Skill OP5</t>
  </si>
  <si>
    <t xml:space="preserve">NAME </t>
  </si>
  <si>
    <t>DOJ          
  (DD/MM/YYYY)</t>
  </si>
  <si>
    <t>Date of Certification          
  (DD/MM/YYYY)</t>
  </si>
  <si>
    <t>How many days work in station</t>
  </si>
  <si>
    <t>13/06/2025</t>
  </si>
  <si>
    <t>1</t>
  </si>
  <si>
    <t>21/03/2025</t>
  </si>
  <si>
    <t>25/09/2025</t>
  </si>
  <si>
    <t>26/07/2025</t>
  </si>
  <si>
    <t>jyoti</t>
  </si>
  <si>
    <t>21/01/2025</t>
  </si>
  <si>
    <t>Neha</t>
  </si>
  <si>
    <t>29/10/2025</t>
  </si>
  <si>
    <t>15/11/2025</t>
  </si>
  <si>
    <t>CG Quick Repair</t>
  </si>
  <si>
    <t>Assy</t>
  </si>
  <si>
    <t>Anchal</t>
  </si>
  <si>
    <t>Ankit</t>
  </si>
  <si>
    <t>14/04/2025</t>
  </si>
  <si>
    <t>13/11/2025</t>
  </si>
  <si>
    <t>21/06/2025</t>
  </si>
  <si>
    <t>AOI</t>
  </si>
  <si>
    <t>31/10/2025</t>
  </si>
  <si>
    <t xml:space="preserve">FATP-AIRLK-BSPK/Baro vent 
</t>
  </si>
  <si>
    <t>Anjali</t>
  </si>
  <si>
    <t>28/06/2025</t>
  </si>
  <si>
    <t>25/06/2025</t>
  </si>
  <si>
    <t>FATP-QT-1-MAN(Log)</t>
  </si>
  <si>
    <t>Soni</t>
  </si>
  <si>
    <t>Nikita</t>
  </si>
  <si>
    <t>23/08/2025</t>
  </si>
  <si>
    <t>14/10/2025</t>
  </si>
  <si>
    <t>SIMRAN</t>
  </si>
  <si>
    <t>26/09/2025</t>
  </si>
  <si>
    <t>26/06/2025</t>
  </si>
  <si>
    <t>priyanka</t>
  </si>
  <si>
    <t>21/07/2025</t>
  </si>
  <si>
    <t>17/02/2025</t>
  </si>
  <si>
    <t>30/08/2025</t>
  </si>
  <si>
    <t>pooja</t>
  </si>
  <si>
    <t>29/07/2025</t>
  </si>
  <si>
    <t>29/06/2025</t>
  </si>
  <si>
    <t>21/04/2025</t>
  </si>
  <si>
    <t>27/03/2025</t>
  </si>
  <si>
    <t>24/05/2025</t>
  </si>
  <si>
    <t>saloni</t>
  </si>
  <si>
    <t>25/07/2024</t>
  </si>
  <si>
    <t>29/05/2025</t>
  </si>
  <si>
    <t>PRACHI</t>
  </si>
  <si>
    <t>15/04/2025</t>
  </si>
  <si>
    <t>24/06/2025</t>
  </si>
  <si>
    <t>SARVESH</t>
  </si>
  <si>
    <t>13/07/2024</t>
  </si>
  <si>
    <t>15/05/2025</t>
  </si>
  <si>
    <t>SHWETA</t>
  </si>
  <si>
    <t>PRIYA</t>
  </si>
  <si>
    <t>NIDHI</t>
  </si>
  <si>
    <t>Anupam</t>
  </si>
  <si>
    <t>MONI</t>
  </si>
  <si>
    <t>BHAWANI</t>
  </si>
  <si>
    <t>ANSONI</t>
  </si>
  <si>
    <t>DEEKSHA</t>
  </si>
  <si>
    <t>Mahak</t>
  </si>
  <si>
    <t>Akansha</t>
  </si>
  <si>
    <t>19/07/2025</t>
  </si>
  <si>
    <t>PRIYANKA</t>
  </si>
  <si>
    <t>Parul</t>
  </si>
  <si>
    <t>PAYAL</t>
  </si>
  <si>
    <t>20/08/2025</t>
  </si>
  <si>
    <t>PREMLATA</t>
  </si>
  <si>
    <t>13/10/2025</t>
  </si>
  <si>
    <t>sayra</t>
  </si>
  <si>
    <t>21/08/2024</t>
  </si>
  <si>
    <t>15/09/2025</t>
  </si>
  <si>
    <t>PINKI</t>
  </si>
  <si>
    <t>13/01/2025</t>
  </si>
  <si>
    <t>NEELAM</t>
  </si>
  <si>
    <t>ROLI</t>
  </si>
  <si>
    <t>manisha</t>
  </si>
  <si>
    <t>21/05/2025</t>
  </si>
  <si>
    <t>yasmeen</t>
  </si>
  <si>
    <t>28/10/2025</t>
  </si>
  <si>
    <t>16/09/2025</t>
  </si>
  <si>
    <t>pinki</t>
  </si>
  <si>
    <t>14/05/2025</t>
  </si>
  <si>
    <t>14/01/2025</t>
  </si>
  <si>
    <t>Swati</t>
  </si>
  <si>
    <t>Mohini</t>
  </si>
  <si>
    <t>Lalita</t>
  </si>
  <si>
    <t>13/12/2025</t>
  </si>
  <si>
    <t xml:space="preserve">Kajal </t>
  </si>
  <si>
    <t>Pooja Gupta</t>
  </si>
  <si>
    <t>Nimu</t>
  </si>
  <si>
    <t>Sandhya</t>
  </si>
  <si>
    <t>Sanjana</t>
  </si>
  <si>
    <t>salini</t>
  </si>
  <si>
    <t xml:space="preserve"> Khushboo</t>
  </si>
  <si>
    <t>Baby</t>
  </si>
  <si>
    <t>Abhishek</t>
  </si>
  <si>
    <t>ranjana</t>
  </si>
  <si>
    <t>SATYAM</t>
  </si>
  <si>
    <t>MOHINI</t>
  </si>
  <si>
    <t>PRITI</t>
  </si>
  <si>
    <t>Subhash</t>
  </si>
  <si>
    <t>Naziya</t>
  </si>
  <si>
    <t>Diksha</t>
  </si>
  <si>
    <t>Monika</t>
  </si>
  <si>
    <t>Pramila</t>
  </si>
  <si>
    <t>MADHURI</t>
  </si>
  <si>
    <t>pooja verma</t>
  </si>
  <si>
    <t>Sakuntala</t>
  </si>
  <si>
    <t>15/07/2024</t>
  </si>
  <si>
    <t>Alka</t>
  </si>
  <si>
    <t>Nimisha</t>
  </si>
  <si>
    <t>SHASHANK</t>
  </si>
  <si>
    <t>Jaiesh</t>
  </si>
  <si>
    <t>Nitu</t>
  </si>
  <si>
    <t>Kamini</t>
  </si>
  <si>
    <t>sulekha</t>
  </si>
  <si>
    <t>Ayushi</t>
  </si>
  <si>
    <t>Rinki</t>
  </si>
  <si>
    <t>shraddha</t>
  </si>
  <si>
    <t>sonam</t>
  </si>
  <si>
    <t xml:space="preserve">Smita </t>
  </si>
  <si>
    <t>Khushbu</t>
  </si>
  <si>
    <t>Aradhya</t>
  </si>
  <si>
    <t>lata</t>
  </si>
  <si>
    <t>Vishal</t>
  </si>
  <si>
    <t>Pooja</t>
  </si>
  <si>
    <t>Tara</t>
  </si>
  <si>
    <t>Anshu</t>
  </si>
  <si>
    <t>Deepika</t>
  </si>
  <si>
    <t>Mamta</t>
  </si>
  <si>
    <t xml:space="preserve">Bajeem khan </t>
  </si>
  <si>
    <t>SHIKHA</t>
  </si>
  <si>
    <t>Alisha</t>
  </si>
  <si>
    <t>Pragati</t>
  </si>
  <si>
    <t>Aaliya</t>
  </si>
  <si>
    <t>Mahima</t>
  </si>
  <si>
    <t>Manshi</t>
  </si>
  <si>
    <t>NISHA</t>
  </si>
  <si>
    <t>Amit</t>
  </si>
  <si>
    <t xml:space="preserve">Ankita </t>
  </si>
  <si>
    <t>Zeeshan</t>
  </si>
  <si>
    <t>Karan</t>
  </si>
  <si>
    <t>Sameer</t>
  </si>
  <si>
    <t>Ramanuj</t>
  </si>
  <si>
    <t>Akash</t>
  </si>
  <si>
    <t>Riya</t>
  </si>
  <si>
    <t>Pratibha</t>
  </si>
  <si>
    <t>POONAM</t>
  </si>
  <si>
    <t>Prinshi</t>
  </si>
  <si>
    <t>25/12/2025</t>
  </si>
  <si>
    <t>Pinki kumari</t>
  </si>
  <si>
    <t>Neetu</t>
  </si>
  <si>
    <t>Aman</t>
  </si>
  <si>
    <t>Shivangi</t>
  </si>
  <si>
    <t>15/12/2025</t>
  </si>
  <si>
    <t>DIVYA</t>
  </si>
  <si>
    <t>Juli</t>
  </si>
  <si>
    <t>Rinku</t>
  </si>
  <si>
    <t>24/12/2025</t>
  </si>
  <si>
    <t>MANISH</t>
  </si>
  <si>
    <t>PRATIMA</t>
  </si>
  <si>
    <t>Anju</t>
  </si>
  <si>
    <t>Moni</t>
  </si>
  <si>
    <t>FATP QT-2 Auto link</t>
  </si>
  <si>
    <t>roshni</t>
  </si>
  <si>
    <t>PRATIBHA</t>
  </si>
  <si>
    <t>29/11/2025</t>
  </si>
  <si>
    <t>19/12/2025</t>
  </si>
  <si>
    <t>Rageeni</t>
  </si>
  <si>
    <t>111/11/2025</t>
  </si>
  <si>
    <t>26/12/2025</t>
  </si>
  <si>
    <t>neha</t>
  </si>
  <si>
    <t>20/12/2025</t>
  </si>
  <si>
    <t>Vivha</t>
  </si>
  <si>
    <t>18/12/2025</t>
  </si>
  <si>
    <t>VIBHA</t>
  </si>
  <si>
    <t>Shivani Sharma</t>
  </si>
  <si>
    <t>Krishna</t>
  </si>
  <si>
    <t>Shusheela</t>
  </si>
  <si>
    <t>Pallavi Kashyap</t>
  </si>
  <si>
    <t>Lav Prasad</t>
  </si>
  <si>
    <t>Tanu</t>
  </si>
  <si>
    <t>Damini</t>
  </si>
  <si>
    <t>Jyoti Pathak</t>
  </si>
  <si>
    <t>17/11/2025</t>
  </si>
  <si>
    <t>Komal</t>
  </si>
  <si>
    <t>Saurabh</t>
  </si>
  <si>
    <t>22/12/2025</t>
  </si>
  <si>
    <t>27/12/2025</t>
  </si>
  <si>
    <t>Nitish Kumar</t>
  </si>
  <si>
    <t>Manish</t>
  </si>
  <si>
    <t>Jyoti Pal</t>
  </si>
  <si>
    <t>GyanMati</t>
  </si>
  <si>
    <t>Gudiya</t>
  </si>
  <si>
    <t>22/11/2025</t>
  </si>
  <si>
    <t>Himanchal</t>
  </si>
  <si>
    <t>Rajeev</t>
  </si>
  <si>
    <t>Anjana Gupta</t>
  </si>
  <si>
    <t>Sanjay</t>
  </si>
  <si>
    <t>Himanshu</t>
  </si>
  <si>
    <t>Namo Mishra</t>
  </si>
  <si>
    <t>Vikash</t>
  </si>
  <si>
    <t>Dholi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</si>
</sst>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8">
    <numFmt numFmtId="164" formatCode="dd&quot;/&quot;mm&quot;/&quot;yyyy"/>
    <numFmt numFmtId="167" formatCode="mm/dd/yyyy"/>
    <numFmt numFmtId="168" formatCode="dd\-mm\-yyyy"/>
    <numFmt numFmtId="169" formatCode="m/d"/>
    <numFmt numFmtId="170" formatCode="m/d/yyyy"/>
    <numFmt numFmtId="171" formatCode="d/m/yyyy"/>
    <numFmt numFmtId="172" formatCode="mm\-dd\-yyyy"/>
    <numFmt numFmtId="173" formatCode="d\-m\-yyyy"/>
  </numFmts>
  <fonts count="32">
    <font>
      <sz val="11"/>
      <color theme="1"/>
      <name val="Calibri"/>
      <scheme val="minor"/>
    </font>
    <font>
      <b/>
      <sz val="10"/>
      <color theme="1"/>
      <name val="Verdana"/>
    </font>
    <font>
      <sz val="10"/>
      <color theme="1"/>
      <name val="Verdana"/>
    </font>
    <font>
      <sz val="11"/>
      <color theme="1"/>
      <name val="Calibri"/>
    </font>
    <font>
      <sz val="11"/>
      <color theme="1"/>
      <name val="Calibri"/>
      <scheme val="minor"/>
    </font>
    <font>
      <sz val="11"/>
      <name val="Calibri"/>
    </font>
    <font>
      <sz val="10"/>
      <color theme="1"/>
      <name val="Calibri"/>
    </font>
    <font>
      <sz val="10"/>
      <color theme="1"/>
      <name val="Arial"/>
    </font>
    <font>
      <sz val="11"/>
      <color theme="1"/>
      <name val="Verdana"/>
    </font>
    <font>
      <sz val="12"/>
      <color theme="1"/>
      <name val="Verdana"/>
    </font>
    <font>
      <sz val="11"/>
      <color theme="1"/>
      <name val="Arial"/>
    </font>
    <font>
      <sz val="10"/>
      <color rgb="FF000000"/>
      <name val="Calibri"/>
    </font>
    <font>
      <b/>
      <sz val="15"/>
      <color theme="1"/>
      <name val="Verdana"/>
    </font>
    <font>
      <b/>
      <sz val="11"/>
      <color theme="1"/>
      <name val="Verdana"/>
    </font>
    <font>
      <b/>
      <sz val="11"/>
      <color theme="1"/>
      <name val="Verdana"/>
    </font>
    <font>
      <sz val="11"/>
      <color theme="1"/>
      <name val="Calibri"/>
    </font>
    <font>
      <sz val="9"/>
      <color theme="1"/>
      <name val="Calibri"/>
    </font>
    <font>
      <sz val="11"/>
      <color theme="1"/>
      <name val="Verdana"/>
    </font>
    <font>
      <sz val="10"/>
      <color rgb="FF000000"/>
      <name val="Verdana"/>
    </font>
    <font>
      <sz val="11"/>
      <color theme="1"/>
      <name val="Times New Roman"/>
    </font>
    <font>
      <sz val="11"/>
      <color theme="1"/>
      <name val="Arial"/>
    </font>
    <font>
      <sz val="12"/>
      <color theme="1"/>
      <name val="Calibri"/>
    </font>
    <font>
      <sz val="10"/>
      <color theme="1"/>
      <name val="Times New Roman"/>
    </font>
    <font>
      <b/>
      <sz val="11"/>
      <color theme="1"/>
      <name val="Calibri"/>
    </font>
    <font>
      <b/>
      <sz val="11"/>
      <color theme="1"/>
      <name val="Arial"/>
    </font>
    <font>
      <b/>
      <sz val="11"/>
      <color theme="1"/>
      <name val="Arial"/>
    </font>
    <font>
      <b/>
      <sz val="10"/>
      <color theme="1"/>
      <name val="Arial"/>
    </font>
    <font>
      <b/>
      <sz val="12"/>
      <color theme="1"/>
      <name val="Arial"/>
    </font>
    <font>
      <b/>
      <sz val="11"/>
      <color theme="1"/>
      <name val="Calibri"/>
    </font>
    <font>
      <b/>
      <sz val="13"/>
      <color theme="1"/>
      <name val="Arial"/>
    </font>
    <font>
      <b/>
      <sz val="11"/>
      <color rgb="FF000000"/>
      <name val="Arial"/>
    </font>
    <font>
      <sz val="12"/>
      <color theme="1"/>
      <name val="Arial"/>
    </font>
  </fonts>
  <fills count="13">
    <fill>
      <patternFill patternType="none"/>
    </fill>
    <fill>
      <patternFill patternType="gray125"/>
    </fill>
    <fill>
      <patternFill patternType="solid">
        <fgColor rgb="FFC9DAF8"/>
        <bgColor rgb="FFC9DAF8"/>
      </patternFill>
    </fill>
    <fill>
      <patternFill patternType="solid">
        <fgColor rgb="FFCFE2F3"/>
        <bgColor rgb="FFCFE2F3"/>
      </patternFill>
    </fill>
    <fill>
      <patternFill patternType="solid">
        <fgColor rgb="FFFFFF00"/>
        <bgColor rgb="FFFFFF00"/>
      </patternFill>
    </fill>
    <fill>
      <patternFill patternType="solid">
        <fgColor rgb="FFFFFFFF"/>
        <bgColor rgb="FFFFFFFF"/>
      </patternFill>
    </fill>
    <fill>
      <patternFill patternType="solid">
        <fgColor rgb="FFFF0000"/>
        <bgColor rgb="FFFF0000"/>
      </patternFill>
    </fill>
    <fill>
      <patternFill patternType="solid">
        <fgColor theme="0"/>
        <bgColor theme="0"/>
      </patternFill>
    </fill>
    <fill>
      <patternFill patternType="solid">
        <fgColor rgb="FF00FFFF"/>
        <bgColor rgb="FF00FFFF"/>
      </patternFill>
    </fill>
    <fill>
      <patternFill patternType="solid">
        <fgColor rgb="FFFFD965"/>
        <bgColor rgb="FFFFD965"/>
      </patternFill>
    </fill>
    <fill>
      <patternFill patternType="solid">
        <fgColor rgb="FF9CC2E5"/>
        <bgColor rgb="FF9CC2E5"/>
      </patternFill>
    </fill>
    <fill>
      <patternFill patternType="solid">
        <fgColor rgb="FFD9EAD3"/>
        <bgColor rgb="FFD9EAD3"/>
      </patternFill>
    </fill>
    <fill>
      <patternFill patternType="solid">
        <fgColor rgb="FFF3F3F3"/>
        <bgColor rgb="FFF3F3F3"/>
      </patternFill>
    </fill>
  </fills>
  <borders count="8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193">
    <xf numFmtId="0" fontId="0" fillId="0" borderId="0" xfId="0"/>
    <xf numFmtId="0" fontId="1" fillId="2" borderId="2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 wrapText="1"/>
    </xf>
    <xf numFmtId="0" fontId="1" fillId="3" borderId="2" xfId="0" applyFont="1" applyFill="1" applyBorder="1" applyAlignment="1">
      <alignment horizontal="center" wrapText="1"/>
    </xf>
    <xf numFmtId="0" fontId="1" fillId="4" borderId="2" xfId="0" applyFont="1" applyFill="1" applyBorder="1" applyAlignment="1">
      <alignment horizontal="center" wrapText="1"/>
    </xf>
    <xf numFmtId="0" fontId="2" fillId="5" borderId="2" xfId="0" applyFont="1" applyFill="1" applyBorder="1" applyAlignment="1">
      <alignment horizontal="center" vertical="center"/>
    </xf>
    <xf numFmtId="0" fontId="2" fillId="5" borderId="2" xfId="0" applyFont="1" applyFill="1" applyBorder="1" applyAlignment="1">
      <alignment horizontal="center"/>
    </xf>
    <xf numFmtId="14" fontId="2" fillId="5" borderId="2" xfId="0" applyNumberFormat="1" applyFont="1" applyFill="1" applyBorder="1" applyAlignment="1">
      <alignment horizontal="center"/>
    </xf>
    <xf numFmtId="0" fontId="2" fillId="6" borderId="2" xfId="0" applyFont="1" applyFill="1" applyBorder="1" applyAlignment="1">
      <alignment horizontal="center" vertical="center"/>
    </xf>
    <xf numFmtId="0" fontId="2" fillId="7" borderId="2" xfId="0" applyFont="1" applyFill="1" applyBorder="1" applyAlignment="1">
      <alignment horizontal="center" vertical="center"/>
    </xf>
    <xf numFmtId="164" fontId="2" fillId="5" borderId="2" xfId="0" applyNumberFormat="1" applyFont="1" applyFill="1" applyBorder="1" applyAlignment="1">
      <alignment horizontal="center"/>
    </xf>
    <xf numFmtId="0" fontId="2" fillId="6" borderId="3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5" borderId="2" xfId="0" applyFont="1" applyFill="1" applyBorder="1" applyAlignment="1">
      <alignment horizontal="center" wrapText="1"/>
    </xf>
    <xf numFmtId="164" fontId="2" fillId="5" borderId="2" xfId="0" applyNumberFormat="1" applyFont="1" applyFill="1" applyBorder="1" applyAlignment="1">
      <alignment horizontal="center" vertical="center"/>
    </xf>
    <xf numFmtId="0" fontId="2" fillId="5" borderId="2" xfId="0" applyFont="1" applyFill="1" applyBorder="1" applyAlignment="1">
      <alignment horizontal="center" vertical="center" wrapText="1"/>
    </xf>
    <xf numFmtId="0" fontId="2" fillId="5" borderId="3" xfId="0" applyFont="1" applyFill="1" applyBorder="1" applyAlignment="1">
      <alignment horizontal="center" vertical="center" wrapText="1"/>
    </xf>
    <xf numFmtId="167" fontId="2" fillId="5" borderId="2" xfId="0" applyNumberFormat="1" applyFont="1" applyFill="1" applyBorder="1" applyAlignment="1">
      <alignment horizontal="center"/>
    </xf>
    <xf numFmtId="0" fontId="2" fillId="0" borderId="2" xfId="0" applyFont="1" applyBorder="1" applyAlignment="1">
      <alignment horizontal="center" vertical="center" wrapText="1"/>
    </xf>
    <xf numFmtId="0" fontId="2" fillId="6" borderId="2" xfId="0" applyFont="1" applyFill="1" applyBorder="1" applyAlignment="1">
      <alignment horizontal="center" vertical="center" wrapText="1"/>
    </xf>
    <xf numFmtId="0" fontId="2" fillId="8" borderId="2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3" fillId="0" borderId="2" xfId="0" applyFont="1" applyBorder="1" applyAlignment="1">
      <alignment horizontal="center"/>
    </xf>
    <xf numFmtId="14" fontId="3" fillId="0" borderId="2" xfId="0" applyNumberFormat="1" applyFont="1" applyBorder="1" applyAlignment="1">
      <alignment horizontal="center"/>
    </xf>
    <xf numFmtId="0" fontId="7" fillId="0" borderId="0" xfId="0" applyFont="1" applyAlignment="1">
      <alignment horizontal="center" vertical="center" wrapText="1"/>
    </xf>
    <xf numFmtId="0" fontId="1" fillId="10" borderId="2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left" vertical="center" wrapText="1"/>
    </xf>
    <xf numFmtId="164" fontId="1" fillId="2" borderId="2" xfId="0" applyNumberFormat="1" applyFont="1" applyFill="1" applyBorder="1" applyAlignment="1">
      <alignment horizontal="center" vertical="center" wrapText="1"/>
    </xf>
    <xf numFmtId="0" fontId="13" fillId="11" borderId="2" xfId="0" applyFont="1" applyFill="1" applyBorder="1" applyAlignment="1">
      <alignment horizontal="center" wrapText="1"/>
    </xf>
    <xf numFmtId="0" fontId="14" fillId="2" borderId="2" xfId="0" applyFont="1" applyFill="1" applyBorder="1" applyAlignment="1">
      <alignment horizontal="center" vertical="center" wrapText="1"/>
    </xf>
    <xf numFmtId="169" fontId="15" fillId="5" borderId="2" xfId="0" applyNumberFormat="1" applyFont="1" applyFill="1" applyBorder="1" applyAlignment="1">
      <alignment horizontal="center"/>
    </xf>
    <xf numFmtId="0" fontId="15" fillId="5" borderId="2" xfId="0" applyFont="1" applyFill="1" applyBorder="1" applyAlignment="1">
      <alignment horizontal="center"/>
    </xf>
    <xf numFmtId="164" fontId="15" fillId="5" borderId="2" xfId="0" applyNumberFormat="1" applyFont="1" applyFill="1" applyBorder="1" applyAlignment="1">
      <alignment horizontal="center"/>
    </xf>
    <xf numFmtId="164" fontId="2" fillId="5" borderId="2" xfId="0" applyNumberFormat="1" applyFont="1" applyFill="1" applyBorder="1" applyAlignment="1">
      <alignment horizontal="center" vertical="center" wrapText="1"/>
    </xf>
    <xf numFmtId="0" fontId="17" fillId="5" borderId="2" xfId="0" applyFont="1" applyFill="1" applyBorder="1" applyAlignment="1">
      <alignment horizontal="center"/>
    </xf>
    <xf numFmtId="0" fontId="8" fillId="5" borderId="2" xfId="0" applyFont="1" applyFill="1" applyBorder="1" applyAlignment="1">
      <alignment horizontal="center"/>
    </xf>
    <xf numFmtId="164" fontId="17" fillId="5" borderId="2" xfId="0" applyNumberFormat="1" applyFont="1" applyFill="1" applyBorder="1" applyAlignment="1">
      <alignment horizontal="center" wrapText="1"/>
    </xf>
    <xf numFmtId="14" fontId="2" fillId="5" borderId="2" xfId="0" applyNumberFormat="1" applyFont="1" applyFill="1" applyBorder="1" applyAlignment="1">
      <alignment horizontal="center" vertical="center" wrapText="1"/>
    </xf>
    <xf numFmtId="0" fontId="17" fillId="5" borderId="2" xfId="0" applyFont="1" applyFill="1" applyBorder="1" applyAlignment="1">
      <alignment horizontal="center" wrapText="1"/>
    </xf>
    <xf numFmtId="0" fontId="6" fillId="5" borderId="2" xfId="0" applyFont="1" applyFill="1" applyBorder="1" applyAlignment="1">
      <alignment horizontal="center" vertical="center" wrapText="1"/>
    </xf>
    <xf numFmtId="164" fontId="6" fillId="5" borderId="2" xfId="0" applyNumberFormat="1" applyFont="1" applyFill="1" applyBorder="1" applyAlignment="1">
      <alignment horizontal="center" vertical="center" wrapText="1"/>
    </xf>
    <xf numFmtId="0" fontId="3" fillId="5" borderId="2" xfId="0" applyFont="1" applyFill="1" applyBorder="1" applyAlignment="1">
      <alignment horizontal="center" vertical="center" wrapText="1"/>
    </xf>
    <xf numFmtId="14" fontId="3" fillId="5" borderId="2" xfId="0" applyNumberFormat="1" applyFont="1" applyFill="1" applyBorder="1" applyAlignment="1">
      <alignment horizontal="center" vertical="center" wrapText="1"/>
    </xf>
    <xf numFmtId="164" fontId="2" fillId="5" borderId="2" xfId="0" applyNumberFormat="1" applyFont="1" applyFill="1" applyBorder="1" applyAlignment="1">
      <alignment horizontal="center" wrapText="1"/>
    </xf>
    <xf numFmtId="0" fontId="3" fillId="5" borderId="2" xfId="0" applyFont="1" applyFill="1" applyBorder="1" applyAlignment="1">
      <alignment horizontal="center" wrapText="1"/>
    </xf>
    <xf numFmtId="164" fontId="3" fillId="5" borderId="2" xfId="0" applyNumberFormat="1" applyFont="1" applyFill="1" applyBorder="1" applyAlignment="1">
      <alignment horizontal="center"/>
    </xf>
    <xf numFmtId="164" fontId="3" fillId="5" borderId="2" xfId="0" applyNumberFormat="1" applyFont="1" applyFill="1" applyBorder="1" applyAlignment="1">
      <alignment horizontal="center" wrapText="1"/>
    </xf>
    <xf numFmtId="0" fontId="3" fillId="5" borderId="2" xfId="0" applyFont="1" applyFill="1" applyBorder="1" applyAlignment="1">
      <alignment horizontal="center"/>
    </xf>
    <xf numFmtId="0" fontId="10" fillId="5" borderId="2" xfId="0" applyFont="1" applyFill="1" applyBorder="1" applyAlignment="1">
      <alignment horizontal="center" wrapText="1"/>
    </xf>
    <xf numFmtId="164" fontId="3" fillId="5" borderId="2" xfId="0" applyNumberFormat="1" applyFont="1" applyFill="1" applyBorder="1" applyAlignment="1">
      <alignment horizontal="center" vertical="center" wrapText="1"/>
    </xf>
    <xf numFmtId="0" fontId="17" fillId="0" borderId="2" xfId="0" applyFont="1" applyBorder="1" applyAlignment="1">
      <alignment horizontal="center"/>
    </xf>
    <xf numFmtId="164" fontId="17" fillId="5" borderId="2" xfId="0" applyNumberFormat="1" applyFont="1" applyFill="1" applyBorder="1" applyAlignment="1">
      <alignment horizontal="center"/>
    </xf>
    <xf numFmtId="167" fontId="2" fillId="5" borderId="2" xfId="0" applyNumberFormat="1" applyFont="1" applyFill="1" applyBorder="1" applyAlignment="1">
      <alignment horizontal="center" vertical="center" wrapText="1"/>
    </xf>
    <xf numFmtId="0" fontId="2" fillId="6" borderId="3" xfId="0" applyFont="1" applyFill="1" applyBorder="1" applyAlignment="1">
      <alignment horizontal="center" vertical="center" wrapText="1"/>
    </xf>
    <xf numFmtId="0" fontId="2" fillId="5" borderId="4" xfId="0" applyFont="1" applyFill="1" applyBorder="1" applyAlignment="1">
      <alignment horizontal="center" vertical="center" wrapText="1"/>
    </xf>
    <xf numFmtId="0" fontId="6" fillId="5" borderId="2" xfId="0" applyFont="1" applyFill="1" applyBorder="1" applyAlignment="1">
      <alignment horizontal="center"/>
    </xf>
    <xf numFmtId="164" fontId="6" fillId="5" borderId="2" xfId="0" applyNumberFormat="1" applyFont="1" applyFill="1" applyBorder="1" applyAlignment="1">
      <alignment horizontal="center"/>
    </xf>
    <xf numFmtId="14" fontId="3" fillId="5" borderId="2" xfId="0" applyNumberFormat="1" applyFont="1" applyFill="1" applyBorder="1" applyAlignment="1">
      <alignment horizontal="center" wrapText="1"/>
    </xf>
    <xf numFmtId="0" fontId="15" fillId="5" borderId="2" xfId="0" applyFont="1" applyFill="1" applyBorder="1" applyAlignment="1">
      <alignment horizontal="center" vertical="center"/>
    </xf>
    <xf numFmtId="0" fontId="4" fillId="0" borderId="0" xfId="0" applyFont="1" applyAlignment="1">
      <alignment horizontal="center"/>
    </xf>
    <xf numFmtId="164" fontId="15" fillId="0" borderId="2" xfId="0" applyNumberFormat="1" applyFont="1" applyBorder="1" applyAlignment="1">
      <alignment horizontal="center"/>
    </xf>
    <xf numFmtId="0" fontId="19" fillId="5" borderId="2" xfId="0" applyFont="1" applyFill="1" applyBorder="1" applyAlignment="1">
      <alignment horizontal="center"/>
    </xf>
    <xf numFmtId="0" fontId="20" fillId="0" borderId="2" xfId="0" applyFont="1" applyBorder="1" applyAlignment="1">
      <alignment horizontal="center"/>
    </xf>
    <xf numFmtId="0" fontId="8" fillId="5" borderId="2" xfId="0" applyFont="1" applyFill="1" applyBorder="1" applyAlignment="1">
      <alignment horizontal="center" wrapText="1"/>
    </xf>
    <xf numFmtId="0" fontId="20" fillId="5" borderId="2" xfId="0" applyFont="1" applyFill="1" applyBorder="1"/>
    <xf numFmtId="0" fontId="21" fillId="5" borderId="2" xfId="0" applyFont="1" applyFill="1" applyBorder="1" applyAlignment="1">
      <alignment horizontal="center" wrapText="1"/>
    </xf>
    <xf numFmtId="164" fontId="8" fillId="5" borderId="2" xfId="0" applyNumberFormat="1" applyFont="1" applyFill="1" applyBorder="1" applyAlignment="1">
      <alignment horizontal="center"/>
    </xf>
    <xf numFmtId="0" fontId="20" fillId="5" borderId="2" xfId="0" applyFont="1" applyFill="1" applyBorder="1" applyAlignment="1">
      <alignment horizontal="center"/>
    </xf>
    <xf numFmtId="14" fontId="20" fillId="5" borderId="2" xfId="0" applyNumberFormat="1" applyFont="1" applyFill="1" applyBorder="1" applyAlignment="1">
      <alignment horizontal="center"/>
    </xf>
    <xf numFmtId="14" fontId="17" fillId="5" borderId="2" xfId="0" applyNumberFormat="1" applyFont="1" applyFill="1" applyBorder="1" applyAlignment="1">
      <alignment horizontal="center"/>
    </xf>
    <xf numFmtId="0" fontId="20" fillId="5" borderId="2" xfId="0" applyFont="1" applyFill="1" applyBorder="1" applyAlignment="1">
      <alignment horizontal="center" wrapText="1"/>
    </xf>
    <xf numFmtId="173" fontId="20" fillId="5" borderId="2" xfId="0" applyNumberFormat="1" applyFont="1" applyFill="1" applyBorder="1" applyAlignment="1">
      <alignment horizontal="center" wrapText="1"/>
    </xf>
    <xf numFmtId="168" fontId="20" fillId="5" borderId="2" xfId="0" applyNumberFormat="1" applyFont="1" applyFill="1" applyBorder="1" applyAlignment="1">
      <alignment horizontal="center" wrapText="1"/>
    </xf>
    <xf numFmtId="14" fontId="20" fillId="5" borderId="2" xfId="0" applyNumberFormat="1" applyFont="1" applyFill="1" applyBorder="1" applyAlignment="1">
      <alignment horizontal="center" wrapText="1"/>
    </xf>
    <xf numFmtId="168" fontId="20" fillId="5" borderId="2" xfId="0" applyNumberFormat="1" applyFont="1" applyFill="1" applyBorder="1" applyAlignment="1">
      <alignment horizontal="center"/>
    </xf>
    <xf numFmtId="0" fontId="14" fillId="5" borderId="2" xfId="0" applyFont="1" applyFill="1" applyBorder="1" applyAlignment="1">
      <alignment horizontal="center"/>
    </xf>
    <xf numFmtId="14" fontId="10" fillId="5" borderId="2" xfId="0" applyNumberFormat="1" applyFont="1" applyFill="1" applyBorder="1" applyAlignment="1">
      <alignment horizontal="center" wrapText="1"/>
    </xf>
    <xf numFmtId="0" fontId="15" fillId="0" borderId="0" xfId="0" applyFont="1" applyAlignment="1">
      <alignment horizontal="center"/>
    </xf>
    <xf numFmtId="0" fontId="10" fillId="0" borderId="2" xfId="0" applyFont="1" applyBorder="1" applyAlignment="1">
      <alignment horizontal="center" wrapText="1"/>
    </xf>
    <xf numFmtId="14" fontId="10" fillId="0" borderId="2" xfId="0" applyNumberFormat="1" applyFont="1" applyBorder="1" applyAlignment="1">
      <alignment horizontal="center" wrapText="1"/>
    </xf>
    <xf numFmtId="0" fontId="2" fillId="4" borderId="2" xfId="0" applyFont="1" applyFill="1" applyBorder="1" applyAlignment="1">
      <alignment horizontal="center" vertical="center" wrapText="1"/>
    </xf>
    <xf numFmtId="167" fontId="17" fillId="5" borderId="2" xfId="0" applyNumberFormat="1" applyFont="1" applyFill="1" applyBorder="1" applyAlignment="1">
      <alignment horizontal="center"/>
    </xf>
    <xf numFmtId="0" fontId="9" fillId="5" borderId="2" xfId="0" applyFont="1" applyFill="1" applyBorder="1" applyAlignment="1">
      <alignment horizontal="center"/>
    </xf>
    <xf numFmtId="14" fontId="8" fillId="5" borderId="2" xfId="0" applyNumberFormat="1" applyFont="1" applyFill="1" applyBorder="1" applyAlignment="1">
      <alignment horizontal="center" wrapText="1"/>
    </xf>
    <xf numFmtId="0" fontId="8" fillId="5" borderId="2" xfId="0" applyFont="1" applyFill="1" applyBorder="1" applyAlignment="1">
      <alignment horizontal="center" vertical="center" wrapText="1"/>
    </xf>
    <xf numFmtId="169" fontId="8" fillId="5" borderId="2" xfId="0" applyNumberFormat="1" applyFont="1" applyFill="1" applyBorder="1" applyAlignment="1">
      <alignment horizontal="center"/>
    </xf>
    <xf numFmtId="167" fontId="8" fillId="5" borderId="2" xfId="0" applyNumberFormat="1" applyFont="1" applyFill="1" applyBorder="1" applyAlignment="1">
      <alignment horizontal="center" vertical="center" wrapText="1"/>
    </xf>
    <xf numFmtId="164" fontId="8" fillId="5" borderId="2" xfId="0" applyNumberFormat="1" applyFont="1" applyFill="1" applyBorder="1" applyAlignment="1">
      <alignment horizontal="center" vertical="center" wrapText="1"/>
    </xf>
    <xf numFmtId="170" fontId="2" fillId="5" borderId="2" xfId="0" applyNumberFormat="1" applyFont="1" applyFill="1" applyBorder="1" applyAlignment="1">
      <alignment horizontal="center" vertical="center" wrapText="1"/>
    </xf>
    <xf numFmtId="3" fontId="17" fillId="5" borderId="2" xfId="0" applyNumberFormat="1" applyFont="1" applyFill="1" applyBorder="1" applyAlignment="1">
      <alignment horizontal="center"/>
    </xf>
    <xf numFmtId="0" fontId="15" fillId="0" borderId="2" xfId="0" applyFont="1" applyBorder="1" applyAlignment="1">
      <alignment horizontal="center"/>
    </xf>
    <xf numFmtId="0" fontId="3" fillId="0" borderId="0" xfId="0" applyFont="1"/>
    <xf numFmtId="164" fontId="15" fillId="0" borderId="0" xfId="0" applyNumberFormat="1" applyFont="1" applyAlignment="1">
      <alignment horizontal="center"/>
    </xf>
    <xf numFmtId="164" fontId="17" fillId="0" borderId="0" xfId="0" applyNumberFormat="1" applyFont="1" applyAlignment="1">
      <alignment vertical="center"/>
    </xf>
    <xf numFmtId="0" fontId="15" fillId="0" borderId="0" xfId="0" applyFont="1" applyAlignment="1">
      <alignment vertical="center"/>
    </xf>
    <xf numFmtId="169" fontId="10" fillId="5" borderId="2" xfId="0" applyNumberFormat="1" applyFont="1" applyFill="1" applyBorder="1" applyAlignment="1">
      <alignment horizontal="center"/>
    </xf>
    <xf numFmtId="0" fontId="10" fillId="5" borderId="2" xfId="0" applyFont="1" applyFill="1" applyBorder="1" applyAlignment="1">
      <alignment horizontal="center"/>
    </xf>
    <xf numFmtId="14" fontId="10" fillId="5" borderId="2" xfId="0" applyNumberFormat="1" applyFont="1" applyFill="1" applyBorder="1" applyAlignment="1">
      <alignment horizontal="center"/>
    </xf>
    <xf numFmtId="14" fontId="17" fillId="5" borderId="2" xfId="0" applyNumberFormat="1" applyFont="1" applyFill="1" applyBorder="1" applyAlignment="1">
      <alignment horizontal="center" wrapText="1"/>
    </xf>
    <xf numFmtId="0" fontId="2" fillId="5" borderId="2" xfId="0" applyFont="1" applyFill="1" applyBorder="1" applyAlignment="1">
      <alignment vertical="center"/>
    </xf>
    <xf numFmtId="0" fontId="2" fillId="5" borderId="2" xfId="0" applyFont="1" applyFill="1" applyBorder="1"/>
    <xf numFmtId="0" fontId="16" fillId="5" borderId="2" xfId="0" applyFont="1" applyFill="1" applyBorder="1"/>
    <xf numFmtId="0" fontId="2" fillId="5" borderId="2" xfId="0" applyFont="1" applyFill="1" applyBorder="1" applyAlignment="1">
      <alignment vertical="center" wrapText="1"/>
    </xf>
    <xf numFmtId="0" fontId="2" fillId="5" borderId="2" xfId="0" applyFont="1" applyFill="1" applyBorder="1" applyAlignment="1">
      <alignment wrapText="1"/>
    </xf>
    <xf numFmtId="0" fontId="6" fillId="5" borderId="2" xfId="0" applyFont="1" applyFill="1" applyBorder="1"/>
    <xf numFmtId="167" fontId="20" fillId="5" borderId="2" xfId="0" applyNumberFormat="1" applyFont="1" applyFill="1" applyBorder="1" applyAlignment="1">
      <alignment horizontal="center"/>
    </xf>
    <xf numFmtId="164" fontId="6" fillId="5" borderId="2" xfId="0" applyNumberFormat="1" applyFont="1" applyFill="1" applyBorder="1" applyAlignment="1">
      <alignment horizontal="center" vertical="center"/>
    </xf>
    <xf numFmtId="0" fontId="3" fillId="5" borderId="2" xfId="0" applyFont="1" applyFill="1" applyBorder="1"/>
    <xf numFmtId="167" fontId="20" fillId="0" borderId="2" xfId="0" applyNumberFormat="1" applyFont="1" applyBorder="1" applyAlignment="1">
      <alignment horizontal="center"/>
    </xf>
    <xf numFmtId="164" fontId="11" fillId="5" borderId="2" xfId="0" applyNumberFormat="1" applyFont="1" applyFill="1" applyBorder="1" applyAlignment="1">
      <alignment horizontal="center" vertical="center"/>
    </xf>
    <xf numFmtId="170" fontId="3" fillId="5" borderId="2" xfId="0" applyNumberFormat="1" applyFont="1" applyFill="1" applyBorder="1" applyAlignment="1">
      <alignment horizontal="center" vertical="center" wrapText="1"/>
    </xf>
    <xf numFmtId="167" fontId="6" fillId="5" borderId="2" xfId="0" applyNumberFormat="1" applyFont="1" applyFill="1" applyBorder="1" applyAlignment="1">
      <alignment horizontal="center" vertical="center" wrapText="1"/>
    </xf>
    <xf numFmtId="164" fontId="18" fillId="5" borderId="2" xfId="0" applyNumberFormat="1" applyFont="1" applyFill="1" applyBorder="1" applyAlignment="1">
      <alignment horizontal="center" vertical="center"/>
    </xf>
    <xf numFmtId="173" fontId="20" fillId="5" borderId="2" xfId="0" applyNumberFormat="1" applyFont="1" applyFill="1" applyBorder="1" applyAlignment="1">
      <alignment horizontal="center"/>
    </xf>
    <xf numFmtId="0" fontId="4" fillId="5" borderId="2" xfId="0" applyFont="1" applyFill="1" applyBorder="1"/>
    <xf numFmtId="170" fontId="6" fillId="5" borderId="2" xfId="0" applyNumberFormat="1" applyFont="1" applyFill="1" applyBorder="1" applyAlignment="1">
      <alignment horizontal="center" vertical="center" wrapText="1"/>
    </xf>
    <xf numFmtId="167" fontId="15" fillId="0" borderId="2" xfId="0" applyNumberFormat="1" applyFont="1" applyBorder="1" applyAlignment="1">
      <alignment horizontal="center"/>
    </xf>
    <xf numFmtId="171" fontId="17" fillId="5" borderId="2" xfId="0" applyNumberFormat="1" applyFont="1" applyFill="1" applyBorder="1" applyAlignment="1">
      <alignment horizontal="center" wrapText="1"/>
    </xf>
    <xf numFmtId="14" fontId="3" fillId="5" borderId="2" xfId="0" applyNumberFormat="1" applyFont="1" applyFill="1" applyBorder="1"/>
    <xf numFmtId="14" fontId="20" fillId="5" borderId="2" xfId="0" applyNumberFormat="1" applyFont="1" applyFill="1" applyBorder="1"/>
    <xf numFmtId="172" fontId="2" fillId="5" borderId="2" xfId="0" applyNumberFormat="1" applyFont="1" applyFill="1" applyBorder="1" applyAlignment="1">
      <alignment horizontal="center" vertical="center"/>
    </xf>
    <xf numFmtId="168" fontId="10" fillId="5" borderId="2" xfId="0" applyNumberFormat="1" applyFont="1" applyFill="1" applyBorder="1" applyAlignment="1">
      <alignment horizontal="center"/>
    </xf>
    <xf numFmtId="0" fontId="6" fillId="5" borderId="2" xfId="0" applyFont="1" applyFill="1" applyBorder="1" applyAlignment="1">
      <alignment horizontal="center" vertical="center"/>
    </xf>
    <xf numFmtId="167" fontId="23" fillId="5" borderId="2" xfId="0" applyNumberFormat="1" applyFont="1" applyFill="1" applyBorder="1" applyAlignment="1">
      <alignment horizontal="center"/>
    </xf>
    <xf numFmtId="0" fontId="4" fillId="5" borderId="2" xfId="0" applyFont="1" applyFill="1" applyBorder="1" applyAlignment="1">
      <alignment horizontal="center"/>
    </xf>
    <xf numFmtId="172" fontId="17" fillId="5" borderId="2" xfId="0" applyNumberFormat="1" applyFont="1" applyFill="1" applyBorder="1" applyAlignment="1">
      <alignment horizontal="center"/>
    </xf>
    <xf numFmtId="164" fontId="2" fillId="5" borderId="2" xfId="0" applyNumberFormat="1" applyFont="1" applyFill="1" applyBorder="1" applyAlignment="1">
      <alignment vertical="center" wrapText="1"/>
    </xf>
    <xf numFmtId="14" fontId="10" fillId="5" borderId="2" xfId="0" applyNumberFormat="1" applyFont="1" applyFill="1" applyBorder="1" applyAlignment="1">
      <alignment horizontal="center" vertical="center"/>
    </xf>
    <xf numFmtId="3" fontId="17" fillId="0" borderId="2" xfId="0" applyNumberFormat="1" applyFont="1" applyBorder="1" applyAlignment="1">
      <alignment horizontal="center"/>
    </xf>
    <xf numFmtId="167" fontId="2" fillId="5" borderId="2" xfId="0" applyNumberFormat="1" applyFont="1" applyFill="1" applyBorder="1" applyAlignment="1">
      <alignment horizontal="center" vertical="center"/>
    </xf>
    <xf numFmtId="164" fontId="20" fillId="5" borderId="2" xfId="0" applyNumberFormat="1" applyFont="1" applyFill="1" applyBorder="1"/>
    <xf numFmtId="0" fontId="24" fillId="5" borderId="2" xfId="0" applyFont="1" applyFill="1" applyBorder="1" applyAlignment="1">
      <alignment horizontal="center"/>
    </xf>
    <xf numFmtId="14" fontId="24" fillId="5" borderId="2" xfId="0" applyNumberFormat="1" applyFont="1" applyFill="1" applyBorder="1" applyAlignment="1">
      <alignment horizontal="center"/>
    </xf>
    <xf numFmtId="14" fontId="25" fillId="5" borderId="2" xfId="0" applyNumberFormat="1" applyFont="1" applyFill="1" applyBorder="1" applyAlignment="1">
      <alignment horizontal="center" wrapText="1"/>
    </xf>
    <xf numFmtId="0" fontId="26" fillId="5" borderId="2" xfId="0" applyFont="1" applyFill="1" applyBorder="1" applyAlignment="1">
      <alignment horizontal="center" vertical="center"/>
    </xf>
    <xf numFmtId="0" fontId="24" fillId="12" borderId="2" xfId="0" applyFont="1" applyFill="1" applyBorder="1" applyAlignment="1">
      <alignment horizontal="center"/>
    </xf>
    <xf numFmtId="14" fontId="24" fillId="12" borderId="2" xfId="0" applyNumberFormat="1" applyFont="1" applyFill="1" applyBorder="1" applyAlignment="1">
      <alignment horizontal="center"/>
    </xf>
    <xf numFmtId="0" fontId="26" fillId="5" borderId="2" xfId="0" applyFont="1" applyFill="1" applyBorder="1" applyAlignment="1">
      <alignment horizontal="center" vertical="center" wrapText="1"/>
    </xf>
    <xf numFmtId="0" fontId="24" fillId="5" borderId="2" xfId="0" applyFont="1" applyFill="1" applyBorder="1" applyAlignment="1">
      <alignment horizontal="center" wrapText="1"/>
    </xf>
    <xf numFmtId="0" fontId="27" fillId="5" borderId="2" xfId="0" applyFont="1" applyFill="1" applyBorder="1" applyAlignment="1">
      <alignment horizontal="center" wrapText="1"/>
    </xf>
    <xf numFmtId="164" fontId="24" fillId="5" borderId="2" xfId="0" applyNumberFormat="1" applyFont="1" applyFill="1" applyBorder="1" applyAlignment="1">
      <alignment horizontal="center" wrapText="1"/>
    </xf>
    <xf numFmtId="167" fontId="24" fillId="5" borderId="2" xfId="0" applyNumberFormat="1" applyFont="1" applyFill="1" applyBorder="1" applyAlignment="1">
      <alignment horizontal="center" wrapText="1"/>
    </xf>
    <xf numFmtId="169" fontId="24" fillId="5" borderId="2" xfId="0" applyNumberFormat="1" applyFont="1" applyFill="1" applyBorder="1" applyAlignment="1">
      <alignment horizontal="center"/>
    </xf>
    <xf numFmtId="0" fontId="25" fillId="5" borderId="2" xfId="0" applyFont="1" applyFill="1" applyBorder="1" applyAlignment="1">
      <alignment horizontal="center" wrapText="1"/>
    </xf>
    <xf numFmtId="164" fontId="26" fillId="5" borderId="2" xfId="0" applyNumberFormat="1" applyFont="1" applyFill="1" applyBorder="1" applyAlignment="1">
      <alignment horizontal="center" vertical="center" wrapText="1"/>
    </xf>
    <xf numFmtId="0" fontId="24" fillId="5" borderId="2" xfId="0" applyFont="1" applyFill="1" applyBorder="1" applyAlignment="1">
      <alignment horizontal="center" vertical="center" wrapText="1"/>
    </xf>
    <xf numFmtId="164" fontId="24" fillId="5" borderId="2" xfId="0" applyNumberFormat="1" applyFont="1" applyFill="1" applyBorder="1" applyAlignment="1">
      <alignment horizontal="center" vertical="center" wrapText="1"/>
    </xf>
    <xf numFmtId="14" fontId="25" fillId="12" borderId="2" xfId="0" applyNumberFormat="1" applyFont="1" applyFill="1" applyBorder="1" applyAlignment="1">
      <alignment horizontal="center" wrapText="1"/>
    </xf>
    <xf numFmtId="168" fontId="25" fillId="5" borderId="2" xfId="0" applyNumberFormat="1" applyFont="1" applyFill="1" applyBorder="1" applyAlignment="1">
      <alignment horizontal="center" wrapText="1"/>
    </xf>
    <xf numFmtId="167" fontId="26" fillId="5" borderId="2" xfId="0" applyNumberFormat="1" applyFont="1" applyFill="1" applyBorder="1" applyAlignment="1">
      <alignment horizontal="center" vertical="center" wrapText="1"/>
    </xf>
    <xf numFmtId="169" fontId="25" fillId="5" borderId="2" xfId="0" applyNumberFormat="1" applyFont="1" applyFill="1" applyBorder="1" applyAlignment="1">
      <alignment horizontal="center"/>
    </xf>
    <xf numFmtId="172" fontId="26" fillId="5" borderId="2" xfId="0" applyNumberFormat="1" applyFont="1" applyFill="1" applyBorder="1" applyAlignment="1">
      <alignment horizontal="center" vertical="center" wrapText="1"/>
    </xf>
    <xf numFmtId="0" fontId="24" fillId="12" borderId="2" xfId="0" applyFont="1" applyFill="1" applyBorder="1" applyAlignment="1">
      <alignment horizontal="center" wrapText="1"/>
    </xf>
    <xf numFmtId="0" fontId="28" fillId="12" borderId="7" xfId="0" applyFont="1" applyFill="1" applyBorder="1" applyAlignment="1">
      <alignment horizontal="center" wrapText="1"/>
    </xf>
    <xf numFmtId="0" fontId="13" fillId="5" borderId="7" xfId="0" applyFont="1" applyFill="1" applyBorder="1" applyAlignment="1">
      <alignment horizontal="center" wrapText="1"/>
    </xf>
    <xf numFmtId="167" fontId="20" fillId="5" borderId="2" xfId="0" applyNumberFormat="1" applyFont="1" applyFill="1" applyBorder="1" applyAlignment="1">
      <alignment horizontal="center" wrapText="1"/>
    </xf>
    <xf numFmtId="0" fontId="25" fillId="5" borderId="2" xfId="0" applyFont="1" applyFill="1" applyBorder="1" applyAlignment="1">
      <alignment horizontal="center"/>
    </xf>
    <xf numFmtId="168" fontId="25" fillId="5" borderId="2" xfId="0" applyNumberFormat="1" applyFont="1" applyFill="1" applyBorder="1" applyAlignment="1">
      <alignment horizontal="center"/>
    </xf>
    <xf numFmtId="14" fontId="25" fillId="5" borderId="2" xfId="0" applyNumberFormat="1" applyFont="1" applyFill="1" applyBorder="1" applyAlignment="1">
      <alignment horizontal="center"/>
    </xf>
    <xf numFmtId="0" fontId="29" fillId="5" borderId="2" xfId="0" applyFont="1" applyFill="1" applyBorder="1" applyAlignment="1">
      <alignment horizontal="center" wrapText="1"/>
    </xf>
    <xf numFmtId="0" fontId="7" fillId="5" borderId="2" xfId="0" applyFont="1" applyFill="1" applyBorder="1" applyAlignment="1">
      <alignment horizontal="center" wrapText="1"/>
    </xf>
    <xf numFmtId="0" fontId="25" fillId="12" borderId="2" xfId="0" applyFont="1" applyFill="1" applyBorder="1" applyAlignment="1">
      <alignment horizontal="center" wrapText="1"/>
    </xf>
    <xf numFmtId="164" fontId="24" fillId="12" borderId="2" xfId="0" applyNumberFormat="1" applyFont="1" applyFill="1" applyBorder="1" applyAlignment="1">
      <alignment horizontal="center" vertical="center" wrapText="1"/>
    </xf>
    <xf numFmtId="167" fontId="2" fillId="5" borderId="2" xfId="0" applyNumberFormat="1" applyFont="1" applyFill="1" applyBorder="1"/>
    <xf numFmtId="167" fontId="2" fillId="5" borderId="2" xfId="0" applyNumberFormat="1" applyFont="1" applyFill="1" applyBorder="1" applyAlignment="1">
      <alignment vertical="center" wrapText="1"/>
    </xf>
    <xf numFmtId="170" fontId="26" fillId="5" borderId="2" xfId="0" applyNumberFormat="1" applyFont="1" applyFill="1" applyBorder="1" applyAlignment="1">
      <alignment horizontal="center" vertical="center" wrapText="1"/>
    </xf>
    <xf numFmtId="0" fontId="1" fillId="5" borderId="2" xfId="0" applyFont="1" applyFill="1" applyBorder="1" applyAlignment="1">
      <alignment horizontal="center" vertical="center" wrapText="1"/>
    </xf>
    <xf numFmtId="170" fontId="1" fillId="5" borderId="2" xfId="0" applyNumberFormat="1" applyFont="1" applyFill="1" applyBorder="1" applyAlignment="1">
      <alignment horizontal="center" vertical="center" wrapText="1"/>
    </xf>
    <xf numFmtId="0" fontId="26" fillId="5" borderId="2" xfId="0" applyFont="1" applyFill="1" applyBorder="1" applyAlignment="1">
      <alignment horizontal="center" wrapText="1"/>
    </xf>
    <xf numFmtId="170" fontId="7" fillId="5" borderId="2" xfId="0" applyNumberFormat="1" applyFont="1" applyFill="1" applyBorder="1" applyAlignment="1">
      <alignment horizontal="center" wrapText="1"/>
    </xf>
    <xf numFmtId="170" fontId="2" fillId="5" borderId="2" xfId="0" applyNumberFormat="1" applyFont="1" applyFill="1" applyBorder="1" applyAlignment="1">
      <alignment vertical="center" wrapText="1"/>
    </xf>
    <xf numFmtId="14" fontId="26" fillId="5" borderId="2" xfId="0" applyNumberFormat="1" applyFont="1" applyFill="1" applyBorder="1" applyAlignment="1">
      <alignment horizontal="center" vertical="center" wrapText="1"/>
    </xf>
    <xf numFmtId="0" fontId="30" fillId="0" borderId="2" xfId="0" applyFont="1" applyBorder="1" applyAlignment="1">
      <alignment horizontal="center" vertical="center" wrapText="1" readingOrder="1"/>
    </xf>
    <xf numFmtId="3" fontId="25" fillId="5" borderId="2" xfId="0" applyNumberFormat="1" applyFont="1" applyFill="1" applyBorder="1" applyAlignment="1">
      <alignment horizontal="center"/>
    </xf>
    <xf numFmtId="0" fontId="31" fillId="5" borderId="2" xfId="0" applyFont="1" applyFill="1" applyBorder="1" applyAlignment="1">
      <alignment horizontal="center"/>
    </xf>
    <xf numFmtId="167" fontId="17" fillId="5" borderId="2" xfId="0" applyNumberFormat="1" applyFont="1" applyFill="1" applyBorder="1" applyAlignment="1">
      <alignment horizontal="center" wrapText="1"/>
    </xf>
    <xf numFmtId="167" fontId="2" fillId="5" borderId="2" xfId="0" applyNumberFormat="1" applyFont="1" applyFill="1" applyBorder="1" applyAlignment="1">
      <alignment horizontal="center" wrapText="1"/>
    </xf>
    <xf numFmtId="0" fontId="31" fillId="0" borderId="2" xfId="0" applyFont="1" applyBorder="1" applyAlignment="1">
      <alignment horizontal="center"/>
    </xf>
    <xf numFmtId="14" fontId="2" fillId="5" borderId="2" xfId="0" applyNumberFormat="1" applyFont="1" applyFill="1" applyBorder="1" applyAlignment="1">
      <alignment horizontal="center" wrapText="1"/>
    </xf>
    <xf numFmtId="0" fontId="22" fillId="5" borderId="2" xfId="0" applyFont="1" applyFill="1" applyBorder="1" applyAlignment="1">
      <alignment horizontal="center"/>
    </xf>
    <xf numFmtId="170" fontId="8" fillId="5" borderId="2" xfId="0" applyNumberFormat="1" applyFont="1" applyFill="1" applyBorder="1" applyAlignment="1">
      <alignment horizontal="center"/>
    </xf>
    <xf numFmtId="170" fontId="2" fillId="5" borderId="2" xfId="0" applyNumberFormat="1" applyFont="1" applyFill="1" applyBorder="1" applyAlignment="1">
      <alignment horizontal="center" wrapText="1"/>
    </xf>
    <xf numFmtId="3" fontId="20" fillId="5" borderId="2" xfId="0" applyNumberFormat="1" applyFont="1" applyFill="1" applyBorder="1"/>
    <xf numFmtId="0" fontId="5" fillId="0" borderId="4" xfId="0" applyFont="1" applyBorder="1"/>
    <xf numFmtId="0" fontId="2" fillId="6" borderId="3" xfId="0" applyFont="1" applyFill="1" applyBorder="1" applyAlignment="1">
      <alignment horizontal="center" vertical="center"/>
    </xf>
    <xf numFmtId="0" fontId="2" fillId="7" borderId="3" xfId="0" applyFont="1" applyFill="1" applyBorder="1" applyAlignment="1">
      <alignment horizontal="center" vertical="center"/>
    </xf>
    <xf numFmtId="0" fontId="2" fillId="0" borderId="3" xfId="0" applyFont="1" applyBorder="1" applyAlignment="1">
      <alignment horizontal="center" vertical="center" wrapText="1"/>
    </xf>
    <xf numFmtId="0" fontId="12" fillId="9" borderId="1" xfId="0" applyFont="1" applyFill="1" applyBorder="1" applyAlignment="1">
      <alignment horizontal="center" vertical="center" wrapText="1"/>
    </xf>
    <xf numFmtId="0" fontId="5" fillId="0" borderId="5" xfId="0" applyFont="1" applyBorder="1"/>
    <xf numFmtId="0" fontId="5" fillId="0" borderId="6" xfId="0" applyFont="1" applyBorder="1"/>
    <xf numFmtId="167" fontId="1" fillId="2" borderId="1" xfId="0" applyNumberFormat="1" applyFont="1" applyFill="1" applyBorder="1" applyAlignment="1">
      <alignment horizontal="center" vertical="center" wrapText="1"/>
    </xf>
    <xf numFmtId="0" fontId="1" fillId="10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552"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E6DD"/>
          <bgColor rgb="FFFFE6DD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E6DD"/>
          <bgColor rgb="FFFFE6DD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E6DD"/>
          <bgColor rgb="FFFFE6DD"/>
        </patternFill>
      </fill>
    </dxf>
    <dxf>
      <fill>
        <patternFill patternType="solid">
          <fgColor rgb="FFFFE6DD"/>
          <bgColor rgb="FFFFE6DD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E6DD"/>
          <bgColor rgb="FFFFE6DD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E6DD"/>
          <bgColor rgb="FFFFE6DD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E6DD"/>
          <bgColor rgb="FFFFE6DD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E6DD"/>
          <bgColor rgb="FFFFE6DD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E6DD"/>
          <bgColor rgb="FFFFE6DD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E6DD"/>
          <bgColor rgb="FFFFE6DD"/>
        </patternFill>
      </fill>
    </dxf>
    <dxf>
      <fill>
        <patternFill patternType="solid">
          <fgColor rgb="FFFFE6DD"/>
          <bgColor rgb="FFFFE6DD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E6DD"/>
          <bgColor rgb="FFFFE6DD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E6DD"/>
          <bgColor rgb="FFFFE6DD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E6DD"/>
          <bgColor rgb="FFFFE6DD"/>
        </patternFill>
      </fill>
    </dxf>
    <dxf>
      <fill>
        <patternFill patternType="solid">
          <fgColor rgb="FFFFE6DD"/>
          <bgColor rgb="FFFFE6DD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E6DD"/>
          <bgColor rgb="FFFFE6DD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E6DD"/>
          <bgColor rgb="FFFFE6DD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E6DD"/>
          <bgColor rgb="FFFFE6DD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E6DD"/>
          <bgColor rgb="FFFFE6DD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E6DD"/>
          <bgColor rgb="FFFFE6DD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E6DD"/>
          <bgColor rgb="FFFFE6DD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E6DD"/>
          <bgColor rgb="FFFFE6DD"/>
        </patternFill>
      </fill>
    </dxf>
    <dxf>
      <fill>
        <patternFill patternType="solid">
          <fgColor rgb="FFFFE6DD"/>
          <bgColor rgb="FFFFE6DD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E6DD"/>
          <bgColor rgb="FFFFE6DD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E6DD"/>
          <bgColor rgb="FFFFE6DD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E6DD"/>
          <bgColor rgb="FFFFE6DD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E6DD"/>
          <bgColor rgb="FFFFE6DD"/>
        </patternFill>
      </fill>
    </dxf>
    <dxf>
      <fill>
        <patternFill patternType="solid">
          <fgColor rgb="FFFFE6DD"/>
          <bgColor rgb="FFFFE6DD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E6DD"/>
          <bgColor rgb="FFFFE6DD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E6DD"/>
          <bgColor rgb="FFFFE6DD"/>
        </patternFill>
      </fill>
    </dxf>
    <dxf>
      <fill>
        <patternFill patternType="solid">
          <fgColor rgb="FFFFE6DD"/>
          <bgColor rgb="FFFFE6DD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E6DD"/>
          <bgColor rgb="FFFFE6DD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E6DD"/>
          <bgColor rgb="FFFFE6DD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E6DD"/>
          <bgColor rgb="FFFFE6DD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E6DD"/>
          <bgColor rgb="FFFFE6DD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</dxfs>
  <tableStyles count="276">
    <tableStyle name="Master Sheet -style" pivot="0" count="2" xr9:uid="{00000000-0011-0000-FFFF-FFFF00000000}">
      <tableStyleElement type="firstRowStripe" dxfId="551"/>
      <tableStyleElement type="secondRowStripe" dxfId="550"/>
    </tableStyle>
    <tableStyle name="Master Sheet -style 2" pivot="0" count="2" xr9:uid="{00000000-0011-0000-FFFF-FFFF01000000}">
      <tableStyleElement type="firstRowStripe" dxfId="549"/>
      <tableStyleElement type="secondRowStripe" dxfId="548"/>
    </tableStyle>
    <tableStyle name="Master Sheet -style 3" pivot="0" count="2" xr9:uid="{00000000-0011-0000-FFFF-FFFF02000000}">
      <tableStyleElement type="firstRowStripe" dxfId="547"/>
      <tableStyleElement type="secondRowStripe" dxfId="546"/>
    </tableStyle>
    <tableStyle name="Master Sheet -style 4" pivot="0" count="2" xr9:uid="{00000000-0011-0000-FFFF-FFFF03000000}">
      <tableStyleElement type="firstRowStripe" dxfId="545"/>
      <tableStyleElement type="secondRowStripe" dxfId="544"/>
    </tableStyle>
    <tableStyle name="Master Sheet -style 5" pivot="0" count="2" xr9:uid="{00000000-0011-0000-FFFF-FFFF04000000}">
      <tableStyleElement type="firstRowStripe" dxfId="543"/>
      <tableStyleElement type="secondRowStripe" dxfId="542"/>
    </tableStyle>
    <tableStyle name="Master Sheet -style 6" pivot="0" count="2" xr9:uid="{00000000-0011-0000-FFFF-FFFF05000000}">
      <tableStyleElement type="firstRowStripe" dxfId="541"/>
      <tableStyleElement type="secondRowStripe" dxfId="540"/>
    </tableStyle>
    <tableStyle name="Master Sheet -style 7" pivot="0" count="2" xr9:uid="{00000000-0011-0000-FFFF-FFFF06000000}">
      <tableStyleElement type="firstRowStripe" dxfId="539"/>
      <tableStyleElement type="secondRowStripe" dxfId="538"/>
    </tableStyle>
    <tableStyle name="Master Sheet -style 8" pivot="0" count="2" xr9:uid="{00000000-0011-0000-FFFF-FFFF07000000}">
      <tableStyleElement type="firstRowStripe" dxfId="537"/>
      <tableStyleElement type="secondRowStripe" dxfId="536"/>
    </tableStyle>
    <tableStyle name="Master Sheet -style 9" pivot="0" count="2" xr9:uid="{00000000-0011-0000-FFFF-FFFF08000000}">
      <tableStyleElement type="firstRowStripe" dxfId="535"/>
      <tableStyleElement type="secondRowStripe" dxfId="534"/>
    </tableStyle>
    <tableStyle name="Master Sheet -style 10" pivot="0" count="2" xr9:uid="{00000000-0011-0000-FFFF-FFFF09000000}">
      <tableStyleElement type="firstRowStripe" dxfId="533"/>
      <tableStyleElement type="secondRowStripe" dxfId="532"/>
    </tableStyle>
    <tableStyle name="Master Sheet -style 11" pivot="0" count="2" xr9:uid="{00000000-0011-0000-FFFF-FFFF0A000000}">
      <tableStyleElement type="firstRowStripe" dxfId="531"/>
      <tableStyleElement type="secondRowStripe" dxfId="530"/>
    </tableStyle>
    <tableStyle name="Master Sheet -style 12" pivot="0" count="2" xr9:uid="{00000000-0011-0000-FFFF-FFFF0B000000}">
      <tableStyleElement type="firstRowStripe" dxfId="529"/>
      <tableStyleElement type="secondRowStripe" dxfId="528"/>
    </tableStyle>
    <tableStyle name="Master Sheet -style 13" pivot="0" count="2" xr9:uid="{00000000-0011-0000-FFFF-FFFF0C000000}">
      <tableStyleElement type="firstRowStripe" dxfId="527"/>
      <tableStyleElement type="secondRowStripe" dxfId="526"/>
    </tableStyle>
    <tableStyle name="Master Sheet -style 14" pivot="0" count="2" xr9:uid="{00000000-0011-0000-FFFF-FFFF0D000000}">
      <tableStyleElement type="firstRowStripe" dxfId="525"/>
      <tableStyleElement type="secondRowStripe" dxfId="524"/>
    </tableStyle>
    <tableStyle name="Master Sheet -style 15" pivot="0" count="2" xr9:uid="{00000000-0011-0000-FFFF-FFFF0E000000}">
      <tableStyleElement type="firstRowStripe" dxfId="523"/>
      <tableStyleElement type="secondRowStripe" dxfId="522"/>
    </tableStyle>
    <tableStyle name="Master Sheet -style 16" pivot="0" count="2" xr9:uid="{00000000-0011-0000-FFFF-FFFF0F000000}">
      <tableStyleElement type="firstRowStripe" dxfId="521"/>
      <tableStyleElement type="secondRowStripe" dxfId="520"/>
    </tableStyle>
    <tableStyle name="Master Sheet -style 17" pivot="0" count="2" xr9:uid="{00000000-0011-0000-FFFF-FFFF10000000}">
      <tableStyleElement type="firstRowStripe" dxfId="519"/>
      <tableStyleElement type="secondRowStripe" dxfId="518"/>
    </tableStyle>
    <tableStyle name="Master Sheet -style 18" pivot="0" count="2" xr9:uid="{00000000-0011-0000-FFFF-FFFF11000000}">
      <tableStyleElement type="firstRowStripe" dxfId="517"/>
      <tableStyleElement type="secondRowStripe" dxfId="516"/>
    </tableStyle>
    <tableStyle name="Master Sheet -style 19" pivot="0" count="2" xr9:uid="{00000000-0011-0000-FFFF-FFFF12000000}">
      <tableStyleElement type="firstRowStripe" dxfId="515"/>
      <tableStyleElement type="secondRowStripe" dxfId="514"/>
    </tableStyle>
    <tableStyle name="Master Sheet -style 20" pivot="0" count="2" xr9:uid="{00000000-0011-0000-FFFF-FFFF13000000}">
      <tableStyleElement type="firstRowStripe" dxfId="513"/>
      <tableStyleElement type="secondRowStripe" dxfId="512"/>
    </tableStyle>
    <tableStyle name="Master Sheet -style 21" pivot="0" count="2" xr9:uid="{00000000-0011-0000-FFFF-FFFF14000000}">
      <tableStyleElement type="firstRowStripe" dxfId="511"/>
      <tableStyleElement type="secondRowStripe" dxfId="510"/>
    </tableStyle>
    <tableStyle name="Master Sheet -style 22" pivot="0" count="2" xr9:uid="{00000000-0011-0000-FFFF-FFFF15000000}">
      <tableStyleElement type="firstRowStripe" dxfId="509"/>
      <tableStyleElement type="secondRowStripe" dxfId="508"/>
    </tableStyle>
    <tableStyle name="Master Sheet -style 23" pivot="0" count="2" xr9:uid="{00000000-0011-0000-FFFF-FFFF16000000}">
      <tableStyleElement type="firstRowStripe" dxfId="507"/>
      <tableStyleElement type="secondRowStripe" dxfId="506"/>
    </tableStyle>
    <tableStyle name="Master Sheet -style 24" pivot="0" count="2" xr9:uid="{00000000-0011-0000-FFFF-FFFF17000000}">
      <tableStyleElement type="firstRowStripe" dxfId="505"/>
      <tableStyleElement type="secondRowStripe" dxfId="504"/>
    </tableStyle>
    <tableStyle name="Master Sheet -style 25" pivot="0" count="2" xr9:uid="{00000000-0011-0000-FFFF-FFFF18000000}">
      <tableStyleElement type="firstRowStripe" dxfId="503"/>
      <tableStyleElement type="secondRowStripe" dxfId="502"/>
    </tableStyle>
    <tableStyle name="Master Sheet -style 26" pivot="0" count="2" xr9:uid="{00000000-0011-0000-FFFF-FFFF19000000}">
      <tableStyleElement type="firstRowStripe" dxfId="501"/>
      <tableStyleElement type="secondRowStripe" dxfId="500"/>
    </tableStyle>
    <tableStyle name="Master Sheet -style 27" pivot="0" count="2" xr9:uid="{00000000-0011-0000-FFFF-FFFF1A000000}">
      <tableStyleElement type="firstRowStripe" dxfId="499"/>
      <tableStyleElement type="secondRowStripe" dxfId="498"/>
    </tableStyle>
    <tableStyle name="Master Sheet -style 28" pivot="0" count="2" xr9:uid="{00000000-0011-0000-FFFF-FFFF1B000000}">
      <tableStyleElement type="firstRowStripe" dxfId="497"/>
      <tableStyleElement type="secondRowStripe" dxfId="496"/>
    </tableStyle>
    <tableStyle name="Master Sheet -style 29" pivot="0" count="2" xr9:uid="{00000000-0011-0000-FFFF-FFFF1C000000}">
      <tableStyleElement type="firstRowStripe" dxfId="495"/>
      <tableStyleElement type="secondRowStripe" dxfId="494"/>
    </tableStyle>
    <tableStyle name="Master Sheet -style 30" pivot="0" count="2" xr9:uid="{00000000-0011-0000-FFFF-FFFF1D000000}">
      <tableStyleElement type="firstRowStripe" dxfId="493"/>
      <tableStyleElement type="secondRowStripe" dxfId="492"/>
    </tableStyle>
    <tableStyle name="Master Sheet -style 31" pivot="0" count="2" xr9:uid="{00000000-0011-0000-FFFF-FFFF1E000000}">
      <tableStyleElement type="firstRowStripe" dxfId="491"/>
      <tableStyleElement type="secondRowStripe" dxfId="490"/>
    </tableStyle>
    <tableStyle name="Master Sheet -style 32" pivot="0" count="2" xr9:uid="{00000000-0011-0000-FFFF-FFFF1F000000}">
      <tableStyleElement type="firstRowStripe" dxfId="489"/>
      <tableStyleElement type="secondRowStripe" dxfId="488"/>
    </tableStyle>
    <tableStyle name="Master Sheet -style 33" pivot="0" count="2" xr9:uid="{00000000-0011-0000-FFFF-FFFF20000000}">
      <tableStyleElement type="firstRowStripe" dxfId="487"/>
      <tableStyleElement type="secondRowStripe" dxfId="486"/>
    </tableStyle>
    <tableStyle name="Master Sheet -style 34" pivot="0" count="2" xr9:uid="{00000000-0011-0000-FFFF-FFFF21000000}">
      <tableStyleElement type="firstRowStripe" dxfId="485"/>
      <tableStyleElement type="secondRowStripe" dxfId="484"/>
    </tableStyle>
    <tableStyle name="Master Sheet -style 35" pivot="0" count="2" xr9:uid="{00000000-0011-0000-FFFF-FFFF22000000}">
      <tableStyleElement type="firstRowStripe" dxfId="483"/>
      <tableStyleElement type="secondRowStripe" dxfId="482"/>
    </tableStyle>
    <tableStyle name="Master Sheet -style 36" pivot="0" count="2" xr9:uid="{00000000-0011-0000-FFFF-FFFF23000000}">
      <tableStyleElement type="firstRowStripe" dxfId="481"/>
      <tableStyleElement type="secondRowStripe" dxfId="480"/>
    </tableStyle>
    <tableStyle name="Master Sheet -style 37" pivot="0" count="2" xr9:uid="{00000000-0011-0000-FFFF-FFFF24000000}">
      <tableStyleElement type="firstRowStripe" dxfId="479"/>
      <tableStyleElement type="secondRowStripe" dxfId="478"/>
    </tableStyle>
    <tableStyle name="Master Sheet -style 38" pivot="0" count="2" xr9:uid="{00000000-0011-0000-FFFF-FFFF25000000}">
      <tableStyleElement type="firstRowStripe" dxfId="477"/>
      <tableStyleElement type="secondRowStripe" dxfId="476"/>
    </tableStyle>
    <tableStyle name="Master Sheet -style 39" pivot="0" count="2" xr9:uid="{00000000-0011-0000-FFFF-FFFF26000000}">
      <tableStyleElement type="firstRowStripe" dxfId="475"/>
      <tableStyleElement type="secondRowStripe" dxfId="474"/>
    </tableStyle>
    <tableStyle name="Master Sheet -style 40" pivot="0" count="2" xr9:uid="{00000000-0011-0000-FFFF-FFFF27000000}">
      <tableStyleElement type="firstRowStripe" dxfId="473"/>
      <tableStyleElement type="secondRowStripe" dxfId="472"/>
    </tableStyle>
    <tableStyle name="Master Sheet -style 41" pivot="0" count="2" xr9:uid="{00000000-0011-0000-FFFF-FFFF28000000}">
      <tableStyleElement type="firstRowStripe" dxfId="471"/>
      <tableStyleElement type="secondRowStripe" dxfId="470"/>
    </tableStyle>
    <tableStyle name="Master Sheet -style 42" pivot="0" count="2" xr9:uid="{00000000-0011-0000-FFFF-FFFF29000000}">
      <tableStyleElement type="firstRowStripe" dxfId="469"/>
      <tableStyleElement type="secondRowStripe" dxfId="468"/>
    </tableStyle>
    <tableStyle name="Master Sheet -style 43" pivot="0" count="2" xr9:uid="{00000000-0011-0000-FFFF-FFFF2A000000}">
      <tableStyleElement type="firstRowStripe" dxfId="467"/>
      <tableStyleElement type="secondRowStripe" dxfId="466"/>
    </tableStyle>
    <tableStyle name="Master Sheet -style 44" pivot="0" count="2" xr9:uid="{00000000-0011-0000-FFFF-FFFF2B000000}">
      <tableStyleElement type="firstRowStripe" dxfId="465"/>
      <tableStyleElement type="secondRowStripe" dxfId="464"/>
    </tableStyle>
    <tableStyle name="Master Sheet -style 45" pivot="0" count="2" xr9:uid="{00000000-0011-0000-FFFF-FFFF2C000000}">
      <tableStyleElement type="firstRowStripe" dxfId="463"/>
      <tableStyleElement type="secondRowStripe" dxfId="462"/>
    </tableStyle>
    <tableStyle name="Master Sheet -style 46" pivot="0" count="2" xr9:uid="{00000000-0011-0000-FFFF-FFFF2D000000}">
      <tableStyleElement type="firstRowStripe" dxfId="461"/>
      <tableStyleElement type="secondRowStripe" dxfId="460"/>
    </tableStyle>
    <tableStyle name="Master Sheet -style 47" pivot="0" count="2" xr9:uid="{00000000-0011-0000-FFFF-FFFF2E000000}">
      <tableStyleElement type="firstRowStripe" dxfId="459"/>
      <tableStyleElement type="secondRowStripe" dxfId="458"/>
    </tableStyle>
    <tableStyle name="Master Sheet -style 48" pivot="0" count="2" xr9:uid="{00000000-0011-0000-FFFF-FFFF2F000000}">
      <tableStyleElement type="firstRowStripe" dxfId="457"/>
      <tableStyleElement type="secondRowStripe" dxfId="456"/>
    </tableStyle>
    <tableStyle name="Master Sheet -style 49" pivot="0" count="2" xr9:uid="{00000000-0011-0000-FFFF-FFFF30000000}">
      <tableStyleElement type="firstRowStripe" dxfId="455"/>
      <tableStyleElement type="secondRowStripe" dxfId="454"/>
    </tableStyle>
    <tableStyle name="Master Sheet -style 50" pivot="0" count="2" xr9:uid="{00000000-0011-0000-FFFF-FFFF31000000}">
      <tableStyleElement type="firstRowStripe" dxfId="453"/>
      <tableStyleElement type="secondRowStripe" dxfId="452"/>
    </tableStyle>
    <tableStyle name="Master Sheet -style 51" pivot="0" count="2" xr9:uid="{00000000-0011-0000-FFFF-FFFF32000000}">
      <tableStyleElement type="firstRowStripe" dxfId="451"/>
      <tableStyleElement type="secondRowStripe" dxfId="450"/>
    </tableStyle>
    <tableStyle name="Master Sheet -style 52" pivot="0" count="2" xr9:uid="{00000000-0011-0000-FFFF-FFFF33000000}">
      <tableStyleElement type="firstRowStripe" dxfId="449"/>
      <tableStyleElement type="secondRowStripe" dxfId="448"/>
    </tableStyle>
    <tableStyle name="Master Sheet -style 53" pivot="0" count="2" xr9:uid="{00000000-0011-0000-FFFF-FFFF34000000}">
      <tableStyleElement type="firstRowStripe" dxfId="447"/>
      <tableStyleElement type="secondRowStripe" dxfId="446"/>
    </tableStyle>
    <tableStyle name="Master Sheet -style 54" pivot="0" count="2" xr9:uid="{00000000-0011-0000-FFFF-FFFF35000000}">
      <tableStyleElement type="firstRowStripe" dxfId="445"/>
      <tableStyleElement type="secondRowStripe" dxfId="444"/>
    </tableStyle>
    <tableStyle name="Master Sheet -style 55" pivot="0" count="2" xr9:uid="{00000000-0011-0000-FFFF-FFFF36000000}">
      <tableStyleElement type="firstRowStripe" dxfId="443"/>
      <tableStyleElement type="secondRowStripe" dxfId="442"/>
    </tableStyle>
    <tableStyle name="Master Sheet -style 56" pivot="0" count="2" xr9:uid="{00000000-0011-0000-FFFF-FFFF37000000}">
      <tableStyleElement type="firstRowStripe" dxfId="441"/>
      <tableStyleElement type="secondRowStripe" dxfId="440"/>
    </tableStyle>
    <tableStyle name="Master Sheet -style 57" pivot="0" count="2" xr9:uid="{00000000-0011-0000-FFFF-FFFF38000000}">
      <tableStyleElement type="firstRowStripe" dxfId="439"/>
      <tableStyleElement type="secondRowStripe" dxfId="438"/>
    </tableStyle>
    <tableStyle name="Master Sheet -style 58" pivot="0" count="2" xr9:uid="{00000000-0011-0000-FFFF-FFFF39000000}">
      <tableStyleElement type="firstRowStripe" dxfId="437"/>
      <tableStyleElement type="secondRowStripe" dxfId="436"/>
    </tableStyle>
    <tableStyle name="Master Sheet -style 59" pivot="0" count="2" xr9:uid="{00000000-0011-0000-FFFF-FFFF3A000000}">
      <tableStyleElement type="firstRowStripe" dxfId="435"/>
      <tableStyleElement type="secondRowStripe" dxfId="434"/>
    </tableStyle>
    <tableStyle name="Master Sheet -style 60" pivot="0" count="2" xr9:uid="{00000000-0011-0000-FFFF-FFFF3B000000}">
      <tableStyleElement type="firstRowStripe" dxfId="433"/>
      <tableStyleElement type="secondRowStripe" dxfId="432"/>
    </tableStyle>
    <tableStyle name="Master Sheet -style 61" pivot="0" count="2" xr9:uid="{00000000-0011-0000-FFFF-FFFF3C000000}">
      <tableStyleElement type="firstRowStripe" dxfId="431"/>
      <tableStyleElement type="secondRowStripe" dxfId="430"/>
    </tableStyle>
    <tableStyle name="Master Sheet -style 62" pivot="0" count="2" xr9:uid="{00000000-0011-0000-FFFF-FFFF3D000000}">
      <tableStyleElement type="firstRowStripe" dxfId="429"/>
      <tableStyleElement type="secondRowStripe" dxfId="428"/>
    </tableStyle>
    <tableStyle name="Master Sheet -style 63" pivot="0" count="2" xr9:uid="{00000000-0011-0000-FFFF-FFFF3E000000}">
      <tableStyleElement type="firstRowStripe" dxfId="427"/>
      <tableStyleElement type="secondRowStripe" dxfId="426"/>
    </tableStyle>
    <tableStyle name="Master Sheet -style 64" pivot="0" count="2" xr9:uid="{00000000-0011-0000-FFFF-FFFF3F000000}">
      <tableStyleElement type="firstRowStripe" dxfId="425"/>
      <tableStyleElement type="secondRowStripe" dxfId="424"/>
    </tableStyle>
    <tableStyle name="Master Sheet -style 65" pivot="0" count="2" xr9:uid="{00000000-0011-0000-FFFF-FFFF40000000}">
      <tableStyleElement type="firstRowStripe" dxfId="423"/>
      <tableStyleElement type="secondRowStripe" dxfId="422"/>
    </tableStyle>
    <tableStyle name="Master Sheet -style 66" pivot="0" count="2" xr9:uid="{00000000-0011-0000-FFFF-FFFF41000000}">
      <tableStyleElement type="firstRowStripe" dxfId="421"/>
      <tableStyleElement type="secondRowStripe" dxfId="420"/>
    </tableStyle>
    <tableStyle name="Master Sheet -style 67" pivot="0" count="2" xr9:uid="{00000000-0011-0000-FFFF-FFFF42000000}">
      <tableStyleElement type="firstRowStripe" dxfId="419"/>
      <tableStyleElement type="secondRowStripe" dxfId="418"/>
    </tableStyle>
    <tableStyle name="Master Sheet -style 68" pivot="0" count="2" xr9:uid="{00000000-0011-0000-FFFF-FFFF43000000}">
      <tableStyleElement type="firstRowStripe" dxfId="417"/>
      <tableStyleElement type="secondRowStripe" dxfId="416"/>
    </tableStyle>
    <tableStyle name="Master Sheet -style 69" pivot="0" count="2" xr9:uid="{00000000-0011-0000-FFFF-FFFF44000000}">
      <tableStyleElement type="firstRowStripe" dxfId="415"/>
      <tableStyleElement type="secondRowStripe" dxfId="414"/>
    </tableStyle>
    <tableStyle name="Master Sheet -style 70" pivot="0" count="2" xr9:uid="{00000000-0011-0000-FFFF-FFFF45000000}">
      <tableStyleElement type="firstRowStripe" dxfId="413"/>
      <tableStyleElement type="secondRowStripe" dxfId="412"/>
    </tableStyle>
    <tableStyle name="Master Sheet -style 71" pivot="0" count="2" xr9:uid="{00000000-0011-0000-FFFF-FFFF46000000}">
      <tableStyleElement type="firstRowStripe" dxfId="411"/>
      <tableStyleElement type="secondRowStripe" dxfId="410"/>
    </tableStyle>
    <tableStyle name="Master Sheet -style 72" pivot="0" count="2" xr9:uid="{00000000-0011-0000-FFFF-FFFF47000000}">
      <tableStyleElement type="firstRowStripe" dxfId="409"/>
      <tableStyleElement type="secondRowStripe" dxfId="408"/>
    </tableStyle>
    <tableStyle name="Master Sheet -style 73" pivot="0" count="2" xr9:uid="{00000000-0011-0000-FFFF-FFFF48000000}">
      <tableStyleElement type="firstRowStripe" dxfId="407"/>
      <tableStyleElement type="secondRowStripe" dxfId="406"/>
    </tableStyle>
    <tableStyle name="Master Sheet -style 74" pivot="0" count="2" xr9:uid="{00000000-0011-0000-FFFF-FFFF49000000}">
      <tableStyleElement type="firstRowStripe" dxfId="405"/>
      <tableStyleElement type="secondRowStripe" dxfId="404"/>
    </tableStyle>
    <tableStyle name="Master Sheet -style 75" pivot="0" count="2" xr9:uid="{00000000-0011-0000-FFFF-FFFF4A000000}">
      <tableStyleElement type="firstRowStripe" dxfId="403"/>
      <tableStyleElement type="secondRowStripe" dxfId="402"/>
    </tableStyle>
    <tableStyle name="Master Sheet -style 76" pivot="0" count="2" xr9:uid="{00000000-0011-0000-FFFF-FFFF4B000000}">
      <tableStyleElement type="firstRowStripe" dxfId="401"/>
      <tableStyleElement type="secondRowStripe" dxfId="400"/>
    </tableStyle>
    <tableStyle name="Master Sheet -style 77" pivot="0" count="2" xr9:uid="{00000000-0011-0000-FFFF-FFFF4C000000}">
      <tableStyleElement type="firstRowStripe" dxfId="399"/>
      <tableStyleElement type="secondRowStripe" dxfId="398"/>
    </tableStyle>
    <tableStyle name="Master Sheet -style 78" pivot="0" count="2" xr9:uid="{00000000-0011-0000-FFFF-FFFF4D000000}">
      <tableStyleElement type="firstRowStripe" dxfId="397"/>
      <tableStyleElement type="secondRowStripe" dxfId="396"/>
    </tableStyle>
    <tableStyle name="Master Sheet -style 79" pivot="0" count="2" xr9:uid="{00000000-0011-0000-FFFF-FFFF4E000000}">
      <tableStyleElement type="firstRowStripe" dxfId="395"/>
      <tableStyleElement type="secondRowStripe" dxfId="394"/>
    </tableStyle>
    <tableStyle name="Master Sheet -style 80" pivot="0" count="2" xr9:uid="{00000000-0011-0000-FFFF-FFFF4F000000}">
      <tableStyleElement type="firstRowStripe" dxfId="393"/>
      <tableStyleElement type="secondRowStripe" dxfId="392"/>
    </tableStyle>
    <tableStyle name="Master Sheet -style 81" pivot="0" count="2" xr9:uid="{00000000-0011-0000-FFFF-FFFF50000000}">
      <tableStyleElement type="firstRowStripe" dxfId="391"/>
      <tableStyleElement type="secondRowStripe" dxfId="390"/>
    </tableStyle>
    <tableStyle name="Master Sheet -style 82" pivot="0" count="2" xr9:uid="{00000000-0011-0000-FFFF-FFFF51000000}">
      <tableStyleElement type="firstRowStripe" dxfId="389"/>
      <tableStyleElement type="secondRowStripe" dxfId="388"/>
    </tableStyle>
    <tableStyle name="Master Sheet -style 83" pivot="0" count="2" xr9:uid="{00000000-0011-0000-FFFF-FFFF52000000}">
      <tableStyleElement type="firstRowStripe" dxfId="387"/>
      <tableStyleElement type="secondRowStripe" dxfId="386"/>
    </tableStyle>
    <tableStyle name="Master Sheet -style 84" pivot="0" count="2" xr9:uid="{00000000-0011-0000-FFFF-FFFF53000000}">
      <tableStyleElement type="firstRowStripe" dxfId="385"/>
      <tableStyleElement type="secondRowStripe" dxfId="384"/>
    </tableStyle>
    <tableStyle name="Master Sheet -style 85" pivot="0" count="2" xr9:uid="{00000000-0011-0000-FFFF-FFFF54000000}">
      <tableStyleElement type="firstRowStripe" dxfId="383"/>
      <tableStyleElement type="secondRowStripe" dxfId="382"/>
    </tableStyle>
    <tableStyle name="Master Sheet -style 86" pivot="0" count="2" xr9:uid="{00000000-0011-0000-FFFF-FFFF55000000}">
      <tableStyleElement type="firstRowStripe" dxfId="381"/>
      <tableStyleElement type="secondRowStripe" dxfId="380"/>
    </tableStyle>
    <tableStyle name="Master Sheet -style 87" pivot="0" count="2" xr9:uid="{00000000-0011-0000-FFFF-FFFF56000000}">
      <tableStyleElement type="firstRowStripe" dxfId="379"/>
      <tableStyleElement type="secondRowStripe" dxfId="378"/>
    </tableStyle>
    <tableStyle name="Master Sheet -style 88" pivot="0" count="2" xr9:uid="{00000000-0011-0000-FFFF-FFFF57000000}">
      <tableStyleElement type="firstRowStripe" dxfId="377"/>
      <tableStyleElement type="secondRowStripe" dxfId="376"/>
    </tableStyle>
    <tableStyle name="Master Sheet -style 89" pivot="0" count="2" xr9:uid="{00000000-0011-0000-FFFF-FFFF58000000}">
      <tableStyleElement type="firstRowStripe" dxfId="375"/>
      <tableStyleElement type="secondRowStripe" dxfId="374"/>
    </tableStyle>
    <tableStyle name="Master Sheet -style 90" pivot="0" count="2" xr9:uid="{00000000-0011-0000-FFFF-FFFF59000000}">
      <tableStyleElement type="firstRowStripe" dxfId="373"/>
      <tableStyleElement type="secondRowStripe" dxfId="372"/>
    </tableStyle>
    <tableStyle name="Master Sheet -style 91" pivot="0" count="2" xr9:uid="{00000000-0011-0000-FFFF-FFFF5A000000}">
      <tableStyleElement type="firstRowStripe" dxfId="371"/>
      <tableStyleElement type="secondRowStripe" dxfId="370"/>
    </tableStyle>
    <tableStyle name="Master Sheet -style 92" pivot="0" count="2" xr9:uid="{00000000-0011-0000-FFFF-FFFF5B000000}">
      <tableStyleElement type="firstRowStripe" dxfId="369"/>
      <tableStyleElement type="secondRowStripe" dxfId="368"/>
    </tableStyle>
    <tableStyle name="Master Sheet -style 93" pivot="0" count="2" xr9:uid="{00000000-0011-0000-FFFF-FFFF5C000000}">
      <tableStyleElement type="firstRowStripe" dxfId="367"/>
      <tableStyleElement type="secondRowStripe" dxfId="366"/>
    </tableStyle>
    <tableStyle name="Master Sheet -style 94" pivot="0" count="2" xr9:uid="{00000000-0011-0000-FFFF-FFFF5D000000}">
      <tableStyleElement type="firstRowStripe" dxfId="365"/>
      <tableStyleElement type="secondRowStripe" dxfId="364"/>
    </tableStyle>
    <tableStyle name="Master Sheet -style 95" pivot="0" count="2" xr9:uid="{00000000-0011-0000-FFFF-FFFF5E000000}">
      <tableStyleElement type="firstRowStripe" dxfId="363"/>
      <tableStyleElement type="secondRowStripe" dxfId="362"/>
    </tableStyle>
    <tableStyle name="Master Sheet -style 96" pivot="0" count="2" xr9:uid="{00000000-0011-0000-FFFF-FFFF5F000000}">
      <tableStyleElement type="firstRowStripe" dxfId="361"/>
      <tableStyleElement type="secondRowStripe" dxfId="360"/>
    </tableStyle>
    <tableStyle name="Master Sheet -style 97" pivot="0" count="2" xr9:uid="{00000000-0011-0000-FFFF-FFFF60000000}">
      <tableStyleElement type="firstRowStripe" dxfId="359"/>
      <tableStyleElement type="secondRowStripe" dxfId="358"/>
    </tableStyle>
    <tableStyle name="Master Sheet -style 98" pivot="0" count="2" xr9:uid="{00000000-0011-0000-FFFF-FFFF61000000}">
      <tableStyleElement type="firstRowStripe" dxfId="357"/>
      <tableStyleElement type="secondRowStripe" dxfId="356"/>
    </tableStyle>
    <tableStyle name="Master Sheet -style 99" pivot="0" count="2" xr9:uid="{00000000-0011-0000-FFFF-FFFF62000000}">
      <tableStyleElement type="firstRowStripe" dxfId="355"/>
      <tableStyleElement type="secondRowStripe" dxfId="354"/>
    </tableStyle>
    <tableStyle name="Master Sheet -style 100" pivot="0" count="2" xr9:uid="{00000000-0011-0000-FFFF-FFFF63000000}">
      <tableStyleElement type="firstRowStripe" dxfId="353"/>
      <tableStyleElement type="secondRowStripe" dxfId="352"/>
    </tableStyle>
    <tableStyle name="Master Sheet -style 101" pivot="0" count="2" xr9:uid="{00000000-0011-0000-FFFF-FFFF64000000}">
      <tableStyleElement type="firstRowStripe" dxfId="351"/>
      <tableStyleElement type="secondRowStripe" dxfId="350"/>
    </tableStyle>
    <tableStyle name="Master Sheet -style 102" pivot="0" count="2" xr9:uid="{00000000-0011-0000-FFFF-FFFF65000000}">
      <tableStyleElement type="firstRowStripe" dxfId="349"/>
      <tableStyleElement type="secondRowStripe" dxfId="348"/>
    </tableStyle>
    <tableStyle name="Master Sheet -style 103" pivot="0" count="2" xr9:uid="{00000000-0011-0000-FFFF-FFFF66000000}">
      <tableStyleElement type="firstRowStripe" dxfId="347"/>
      <tableStyleElement type="secondRowStripe" dxfId="346"/>
    </tableStyle>
    <tableStyle name="Master Sheet -style 104" pivot="0" count="2" xr9:uid="{00000000-0011-0000-FFFF-FFFF67000000}">
      <tableStyleElement type="firstRowStripe" dxfId="345"/>
      <tableStyleElement type="secondRowStripe" dxfId="344"/>
    </tableStyle>
    <tableStyle name="Master Sheet -style 105" pivot="0" count="2" xr9:uid="{00000000-0011-0000-FFFF-FFFF68000000}">
      <tableStyleElement type="firstRowStripe" dxfId="343"/>
      <tableStyleElement type="secondRowStripe" dxfId="342"/>
    </tableStyle>
    <tableStyle name="Master Sheet -style 106" pivot="0" count="2" xr9:uid="{00000000-0011-0000-FFFF-FFFF69000000}">
      <tableStyleElement type="firstRowStripe" dxfId="341"/>
      <tableStyleElement type="secondRowStripe" dxfId="340"/>
    </tableStyle>
    <tableStyle name="Master Sheet -style 107" pivot="0" count="2" xr9:uid="{00000000-0011-0000-FFFF-FFFF6A000000}">
      <tableStyleElement type="firstRowStripe" dxfId="339"/>
      <tableStyleElement type="secondRowStripe" dxfId="338"/>
    </tableStyle>
    <tableStyle name="Master Sheet -style 108" pivot="0" count="2" xr9:uid="{00000000-0011-0000-FFFF-FFFF6B000000}">
      <tableStyleElement type="firstRowStripe" dxfId="337"/>
      <tableStyleElement type="secondRowStripe" dxfId="336"/>
    </tableStyle>
    <tableStyle name="Master Sheet -style 109" pivot="0" count="2" xr9:uid="{00000000-0011-0000-FFFF-FFFF6C000000}">
      <tableStyleElement type="firstRowStripe" dxfId="335"/>
      <tableStyleElement type="secondRowStripe" dxfId="334"/>
    </tableStyle>
    <tableStyle name="Master Sheet -style 110" pivot="0" count="2" xr9:uid="{00000000-0011-0000-FFFF-FFFF6D000000}">
      <tableStyleElement type="firstRowStripe" dxfId="333"/>
      <tableStyleElement type="secondRowStripe" dxfId="332"/>
    </tableStyle>
    <tableStyle name="Master Sheet -style 111" pivot="0" count="2" xr9:uid="{00000000-0011-0000-FFFF-FFFF6E000000}">
      <tableStyleElement type="firstRowStripe" dxfId="331"/>
      <tableStyleElement type="secondRowStripe" dxfId="330"/>
    </tableStyle>
    <tableStyle name="Master Sheet -style 112" pivot="0" count="2" xr9:uid="{00000000-0011-0000-FFFF-FFFF6F000000}">
      <tableStyleElement type="firstRowStripe" dxfId="329"/>
      <tableStyleElement type="secondRowStripe" dxfId="328"/>
    </tableStyle>
    <tableStyle name="Master Sheet -style 113" pivot="0" count="2" xr9:uid="{00000000-0011-0000-FFFF-FFFF70000000}">
      <tableStyleElement type="firstRowStripe" dxfId="327"/>
      <tableStyleElement type="secondRowStripe" dxfId="326"/>
    </tableStyle>
    <tableStyle name="Master Sheet -style 114" pivot="0" count="2" xr9:uid="{00000000-0011-0000-FFFF-FFFF71000000}">
      <tableStyleElement type="firstRowStripe" dxfId="325"/>
      <tableStyleElement type="secondRowStripe" dxfId="324"/>
    </tableStyle>
    <tableStyle name="Master Sheet -style 115" pivot="0" count="2" xr9:uid="{00000000-0011-0000-FFFF-FFFF72000000}">
      <tableStyleElement type="firstRowStripe" dxfId="323"/>
      <tableStyleElement type="secondRowStripe" dxfId="322"/>
    </tableStyle>
    <tableStyle name="TG4 Current Shift -style" pivot="0" count="2" xr9:uid="{00000000-0011-0000-FFFF-FFFF73000000}">
      <tableStyleElement type="firstRowStripe" dxfId="321"/>
      <tableStyleElement type="secondRowStripe" dxfId="320"/>
    </tableStyle>
    <tableStyle name="TG4 Current Shift -style 2" pivot="0" count="2" xr9:uid="{00000000-0011-0000-FFFF-FFFF74000000}">
      <tableStyleElement type="firstRowStripe" dxfId="319"/>
      <tableStyleElement type="secondRowStripe" dxfId="318"/>
    </tableStyle>
    <tableStyle name="TG4 Current Shift -style 3" pivot="0" count="2" xr9:uid="{00000000-0011-0000-FFFF-FFFF75000000}">
      <tableStyleElement type="firstRowStripe" dxfId="317"/>
      <tableStyleElement type="secondRowStripe" dxfId="316"/>
    </tableStyle>
    <tableStyle name="TG4 Current Shift -style 4" pivot="0" count="2" xr9:uid="{00000000-0011-0000-FFFF-FFFF76000000}">
      <tableStyleElement type="firstRowStripe" dxfId="315"/>
      <tableStyleElement type="secondRowStripe" dxfId="314"/>
    </tableStyle>
    <tableStyle name="TG4 Current Shift -style 5" pivot="0" count="2" xr9:uid="{00000000-0011-0000-FFFF-FFFF77000000}">
      <tableStyleElement type="firstRowStripe" dxfId="313"/>
      <tableStyleElement type="secondRowStripe" dxfId="312"/>
    </tableStyle>
    <tableStyle name="TG4 Current Shift -style 6" pivot="0" count="2" xr9:uid="{00000000-0011-0000-FFFF-FFFF78000000}">
      <tableStyleElement type="firstRowStripe" dxfId="311"/>
      <tableStyleElement type="secondRowStripe" dxfId="310"/>
    </tableStyle>
    <tableStyle name="TG4 Current Shift -style 7" pivot="0" count="2" xr9:uid="{00000000-0011-0000-FFFF-FFFF79000000}">
      <tableStyleElement type="firstRowStripe" dxfId="309"/>
      <tableStyleElement type="secondRowStripe" dxfId="308"/>
    </tableStyle>
    <tableStyle name="TG4 Current Shift -style 8" pivot="0" count="2" xr9:uid="{00000000-0011-0000-FFFF-FFFF7A000000}">
      <tableStyleElement type="firstRowStripe" dxfId="307"/>
      <tableStyleElement type="secondRowStripe" dxfId="306"/>
    </tableStyle>
    <tableStyle name="TG4 Current Shift -style 9" pivot="0" count="2" xr9:uid="{00000000-0011-0000-FFFF-FFFF7B000000}">
      <tableStyleElement type="firstRowStripe" dxfId="305"/>
      <tableStyleElement type="secondRowStripe" dxfId="304"/>
    </tableStyle>
    <tableStyle name="TG4 Current Shift -style 10" pivot="0" count="2" xr9:uid="{00000000-0011-0000-FFFF-FFFF7C000000}">
      <tableStyleElement type="firstRowStripe" dxfId="303"/>
      <tableStyleElement type="secondRowStripe" dxfId="302"/>
    </tableStyle>
    <tableStyle name="TG4 Current Shift -style 11" pivot="0" count="2" xr9:uid="{00000000-0011-0000-FFFF-FFFF7D000000}">
      <tableStyleElement type="firstRowStripe" dxfId="301"/>
      <tableStyleElement type="secondRowStripe" dxfId="300"/>
    </tableStyle>
    <tableStyle name="TG4 Current Shift -style 12" pivot="0" count="2" xr9:uid="{00000000-0011-0000-FFFF-FFFF7E000000}">
      <tableStyleElement type="firstRowStripe" dxfId="299"/>
      <tableStyleElement type="secondRowStripe" dxfId="298"/>
    </tableStyle>
    <tableStyle name="TG4 Current Shift -style 13" pivot="0" count="2" xr9:uid="{00000000-0011-0000-FFFF-FFFF7F000000}">
      <tableStyleElement type="firstRowStripe" dxfId="297"/>
      <tableStyleElement type="secondRowStripe" dxfId="296"/>
    </tableStyle>
    <tableStyle name="TG4 Current Shift -style 14" pivot="0" count="2" xr9:uid="{00000000-0011-0000-FFFF-FFFF80000000}">
      <tableStyleElement type="firstRowStripe" dxfId="295"/>
      <tableStyleElement type="secondRowStripe" dxfId="294"/>
    </tableStyle>
    <tableStyle name="TG4 Current Shift -style 15" pivot="0" count="2" xr9:uid="{00000000-0011-0000-FFFF-FFFF81000000}">
      <tableStyleElement type="firstRowStripe" dxfId="293"/>
      <tableStyleElement type="secondRowStripe" dxfId="292"/>
    </tableStyle>
    <tableStyle name="TG4 Current Shift -style 16" pivot="0" count="2" xr9:uid="{00000000-0011-0000-FFFF-FFFF82000000}">
      <tableStyleElement type="firstRowStripe" dxfId="291"/>
      <tableStyleElement type="secondRowStripe" dxfId="290"/>
    </tableStyle>
    <tableStyle name="TG4 Current Shift -style 17" pivot="0" count="2" xr9:uid="{00000000-0011-0000-FFFF-FFFF83000000}">
      <tableStyleElement type="firstRowStripe" dxfId="289"/>
      <tableStyleElement type="secondRowStripe" dxfId="288"/>
    </tableStyle>
    <tableStyle name="TG4 Current Shift -style 18" pivot="0" count="2" xr9:uid="{00000000-0011-0000-FFFF-FFFF84000000}">
      <tableStyleElement type="firstRowStripe" dxfId="287"/>
      <tableStyleElement type="secondRowStripe" dxfId="286"/>
    </tableStyle>
    <tableStyle name="TG4 Current Shift -style 19" pivot="0" count="2" xr9:uid="{00000000-0011-0000-FFFF-FFFF85000000}">
      <tableStyleElement type="firstRowStripe" dxfId="285"/>
      <tableStyleElement type="secondRowStripe" dxfId="284"/>
    </tableStyle>
    <tableStyle name="TG4 Current Shift -style 20" pivot="0" count="2" xr9:uid="{00000000-0011-0000-FFFF-FFFF86000000}">
      <tableStyleElement type="firstRowStripe" dxfId="283"/>
      <tableStyleElement type="secondRowStripe" dxfId="282"/>
    </tableStyle>
    <tableStyle name="TG4 Current Shift -style 21" pivot="0" count="2" xr9:uid="{00000000-0011-0000-FFFF-FFFF87000000}">
      <tableStyleElement type="firstRowStripe" dxfId="281"/>
      <tableStyleElement type="secondRowStripe" dxfId="280"/>
    </tableStyle>
    <tableStyle name="TG4 Current Shift -style 22" pivot="0" count="2" xr9:uid="{00000000-0011-0000-FFFF-FFFF88000000}">
      <tableStyleElement type="firstRowStripe" dxfId="279"/>
      <tableStyleElement type="secondRowStripe" dxfId="278"/>
    </tableStyle>
    <tableStyle name="TG4 Current Shift -style 23" pivot="0" count="2" xr9:uid="{00000000-0011-0000-FFFF-FFFF89000000}">
      <tableStyleElement type="firstRowStripe" dxfId="277"/>
      <tableStyleElement type="secondRowStripe" dxfId="276"/>
    </tableStyle>
    <tableStyle name="TG4 Current Shift -style 24" pivot="0" count="2" xr9:uid="{00000000-0011-0000-FFFF-FFFF8A000000}">
      <tableStyleElement type="firstRowStripe" dxfId="275"/>
      <tableStyleElement type="secondRowStripe" dxfId="274"/>
    </tableStyle>
    <tableStyle name="TG4 Current Shift -style 25" pivot="0" count="2" xr9:uid="{00000000-0011-0000-FFFF-FFFF8B000000}">
      <tableStyleElement type="firstRowStripe" dxfId="273"/>
      <tableStyleElement type="secondRowStripe" dxfId="272"/>
    </tableStyle>
    <tableStyle name="TG4 Current Shift -style 26" pivot="0" count="2" xr9:uid="{00000000-0011-0000-FFFF-FFFF8C000000}">
      <tableStyleElement type="firstRowStripe" dxfId="271"/>
      <tableStyleElement type="secondRowStripe" dxfId="270"/>
    </tableStyle>
    <tableStyle name="TG4 Current Shift -style 27" pivot="0" count="2" xr9:uid="{00000000-0011-0000-FFFF-FFFF8D000000}">
      <tableStyleElement type="firstRowStripe" dxfId="269"/>
      <tableStyleElement type="secondRowStripe" dxfId="268"/>
    </tableStyle>
    <tableStyle name="TG4 Current Shift -style 28" pivot="0" count="2" xr9:uid="{00000000-0011-0000-FFFF-FFFF8E000000}">
      <tableStyleElement type="firstRowStripe" dxfId="267"/>
      <tableStyleElement type="secondRowStripe" dxfId="266"/>
    </tableStyle>
    <tableStyle name="TG4 Current Shift -style 29" pivot="0" count="2" xr9:uid="{00000000-0011-0000-FFFF-FFFF8F000000}">
      <tableStyleElement type="firstRowStripe" dxfId="265"/>
      <tableStyleElement type="secondRowStripe" dxfId="264"/>
    </tableStyle>
    <tableStyle name="TG4 Current Shift -style 30" pivot="0" count="2" xr9:uid="{00000000-0011-0000-FFFF-FFFF90000000}">
      <tableStyleElement type="firstRowStripe" dxfId="263"/>
      <tableStyleElement type="secondRowStripe" dxfId="262"/>
    </tableStyle>
    <tableStyle name="TG4 Current Shift -style 31" pivot="0" count="2" xr9:uid="{00000000-0011-0000-FFFF-FFFF91000000}">
      <tableStyleElement type="firstRowStripe" dxfId="261"/>
      <tableStyleElement type="secondRowStripe" dxfId="260"/>
    </tableStyle>
    <tableStyle name="TG4 Current Shift -style 32" pivot="0" count="2" xr9:uid="{00000000-0011-0000-FFFF-FFFF92000000}">
      <tableStyleElement type="firstRowStripe" dxfId="259"/>
      <tableStyleElement type="secondRowStripe" dxfId="258"/>
    </tableStyle>
    <tableStyle name="TG4 Current Shift -style 33" pivot="0" count="2" xr9:uid="{00000000-0011-0000-FFFF-FFFF93000000}">
      <tableStyleElement type="firstRowStripe" dxfId="257"/>
      <tableStyleElement type="secondRowStripe" dxfId="256"/>
    </tableStyle>
    <tableStyle name="TG4 Current Shift -style 34" pivot="0" count="2" xr9:uid="{00000000-0011-0000-FFFF-FFFF94000000}">
      <tableStyleElement type="firstRowStripe" dxfId="255"/>
      <tableStyleElement type="secondRowStripe" dxfId="254"/>
    </tableStyle>
    <tableStyle name="TG4 Current Shift -style 35" pivot="0" count="2" xr9:uid="{00000000-0011-0000-FFFF-FFFF95000000}">
      <tableStyleElement type="firstRowStripe" dxfId="253"/>
      <tableStyleElement type="secondRowStripe" dxfId="252"/>
    </tableStyle>
    <tableStyle name="TG4 Current Shift -style 36" pivot="0" count="2" xr9:uid="{00000000-0011-0000-FFFF-FFFF96000000}">
      <tableStyleElement type="firstRowStripe" dxfId="251"/>
      <tableStyleElement type="secondRowStripe" dxfId="250"/>
    </tableStyle>
    <tableStyle name="TG4 Current Shift -style 37" pivot="0" count="2" xr9:uid="{00000000-0011-0000-FFFF-FFFF97000000}">
      <tableStyleElement type="firstRowStripe" dxfId="249"/>
      <tableStyleElement type="secondRowStripe" dxfId="248"/>
    </tableStyle>
    <tableStyle name="TG4 Current Shift -style 38" pivot="0" count="2" xr9:uid="{00000000-0011-0000-FFFF-FFFF98000000}">
      <tableStyleElement type="firstRowStripe" dxfId="247"/>
      <tableStyleElement type="secondRowStripe" dxfId="246"/>
    </tableStyle>
    <tableStyle name="TG4 Current Shift -style 39" pivot="0" count="2" xr9:uid="{00000000-0011-0000-FFFF-FFFF99000000}">
      <tableStyleElement type="firstRowStripe" dxfId="245"/>
      <tableStyleElement type="secondRowStripe" dxfId="244"/>
    </tableStyle>
    <tableStyle name="TG4 Current Shift -style 40" pivot="0" count="2" xr9:uid="{00000000-0011-0000-FFFF-FFFF9A000000}">
      <tableStyleElement type="firstRowStripe" dxfId="243"/>
      <tableStyleElement type="secondRowStripe" dxfId="242"/>
    </tableStyle>
    <tableStyle name="TG4 Current Shift -style 41" pivot="0" count="2" xr9:uid="{00000000-0011-0000-FFFF-FFFF9B000000}">
      <tableStyleElement type="firstRowStripe" dxfId="241"/>
      <tableStyleElement type="secondRowStripe" dxfId="240"/>
    </tableStyle>
    <tableStyle name="TG4 Current Shift -style 42" pivot="0" count="2" xr9:uid="{00000000-0011-0000-FFFF-FFFF9C000000}">
      <tableStyleElement type="firstRowStripe" dxfId="239"/>
      <tableStyleElement type="secondRowStripe" dxfId="238"/>
    </tableStyle>
    <tableStyle name="TG4 Current Shift -style 43" pivot="0" count="2" xr9:uid="{00000000-0011-0000-FFFF-FFFF9D000000}">
      <tableStyleElement type="firstRowStripe" dxfId="237"/>
      <tableStyleElement type="secondRowStripe" dxfId="236"/>
    </tableStyle>
    <tableStyle name="TG4 Current Shift -style 44" pivot="0" count="2" xr9:uid="{00000000-0011-0000-FFFF-FFFF9E000000}">
      <tableStyleElement type="firstRowStripe" dxfId="235"/>
      <tableStyleElement type="secondRowStripe" dxfId="234"/>
    </tableStyle>
    <tableStyle name="TG4 Current Shift -style 45" pivot="0" count="2" xr9:uid="{00000000-0011-0000-FFFF-FFFF9F000000}">
      <tableStyleElement type="firstRowStripe" dxfId="233"/>
      <tableStyleElement type="secondRowStripe" dxfId="232"/>
    </tableStyle>
    <tableStyle name="TG4 Current Shift -style 46" pivot="0" count="2" xr9:uid="{00000000-0011-0000-FFFF-FFFFA0000000}">
      <tableStyleElement type="firstRowStripe" dxfId="231"/>
      <tableStyleElement type="secondRowStripe" dxfId="230"/>
    </tableStyle>
    <tableStyle name="TG4 Current Shift -style 47" pivot="0" count="2" xr9:uid="{00000000-0011-0000-FFFF-FFFFA1000000}">
      <tableStyleElement type="firstRowStripe" dxfId="229"/>
      <tableStyleElement type="secondRowStripe" dxfId="228"/>
    </tableStyle>
    <tableStyle name="TG4 Current Shift -style 48" pivot="0" count="2" xr9:uid="{00000000-0011-0000-FFFF-FFFFA2000000}">
      <tableStyleElement type="firstRowStripe" dxfId="227"/>
      <tableStyleElement type="secondRowStripe" dxfId="226"/>
    </tableStyle>
    <tableStyle name="TG4 Current Shift -style 49" pivot="0" count="2" xr9:uid="{00000000-0011-0000-FFFF-FFFFA3000000}">
      <tableStyleElement type="firstRowStripe" dxfId="225"/>
      <tableStyleElement type="secondRowStripe" dxfId="224"/>
    </tableStyle>
    <tableStyle name="TG4 Current Shift -style 50" pivot="0" count="2" xr9:uid="{00000000-0011-0000-FFFF-FFFFA4000000}">
      <tableStyleElement type="firstRowStripe" dxfId="223"/>
      <tableStyleElement type="secondRowStripe" dxfId="222"/>
    </tableStyle>
    <tableStyle name="TG4 Current Shift -style 51" pivot="0" count="2" xr9:uid="{00000000-0011-0000-FFFF-FFFFA5000000}">
      <tableStyleElement type="firstRowStripe" dxfId="221"/>
      <tableStyleElement type="secondRowStripe" dxfId="220"/>
    </tableStyle>
    <tableStyle name="TG4 Current Shift -style 52" pivot="0" count="2" xr9:uid="{00000000-0011-0000-FFFF-FFFFA6000000}">
      <tableStyleElement type="firstRowStripe" dxfId="219"/>
      <tableStyleElement type="secondRowStripe" dxfId="218"/>
    </tableStyle>
    <tableStyle name="TG4 Current Shift -style 53" pivot="0" count="2" xr9:uid="{00000000-0011-0000-FFFF-FFFFA7000000}">
      <tableStyleElement type="firstRowStripe" dxfId="217"/>
      <tableStyleElement type="secondRowStripe" dxfId="216"/>
    </tableStyle>
    <tableStyle name="TG4 Current Shift -style 54" pivot="0" count="2" xr9:uid="{00000000-0011-0000-FFFF-FFFFA8000000}">
      <tableStyleElement type="firstRowStripe" dxfId="215"/>
      <tableStyleElement type="secondRowStripe" dxfId="214"/>
    </tableStyle>
    <tableStyle name="TG4 Current Shift -style 55" pivot="0" count="2" xr9:uid="{00000000-0011-0000-FFFF-FFFFA9000000}">
      <tableStyleElement type="firstRowStripe" dxfId="213"/>
      <tableStyleElement type="secondRowStripe" dxfId="212"/>
    </tableStyle>
    <tableStyle name="TG4 Current Shift -style 56" pivot="0" count="2" xr9:uid="{00000000-0011-0000-FFFF-FFFFAA000000}">
      <tableStyleElement type="firstRowStripe" dxfId="211"/>
      <tableStyleElement type="secondRowStripe" dxfId="210"/>
    </tableStyle>
    <tableStyle name="TG4 Current Shift -style 57" pivot="0" count="2" xr9:uid="{00000000-0011-0000-FFFF-FFFFAB000000}">
      <tableStyleElement type="firstRowStripe" dxfId="209"/>
      <tableStyleElement type="secondRowStripe" dxfId="208"/>
    </tableStyle>
    <tableStyle name="TG4 Current Shift -style 58" pivot="0" count="2" xr9:uid="{00000000-0011-0000-FFFF-FFFFAC000000}">
      <tableStyleElement type="firstRowStripe" dxfId="207"/>
      <tableStyleElement type="secondRowStripe" dxfId="206"/>
    </tableStyle>
    <tableStyle name="TG4 Current Shift -style 59" pivot="0" count="2" xr9:uid="{00000000-0011-0000-FFFF-FFFFAD000000}">
      <tableStyleElement type="firstRowStripe" dxfId="205"/>
      <tableStyleElement type="secondRowStripe" dxfId="204"/>
    </tableStyle>
    <tableStyle name="TG4 Current Shift -style 60" pivot="0" count="2" xr9:uid="{00000000-0011-0000-FFFF-FFFFAE000000}">
      <tableStyleElement type="firstRowStripe" dxfId="203"/>
      <tableStyleElement type="secondRowStripe" dxfId="202"/>
    </tableStyle>
    <tableStyle name="TG4 Current Shift -style 61" pivot="0" count="2" xr9:uid="{00000000-0011-0000-FFFF-FFFFAF000000}">
      <tableStyleElement type="firstRowStripe" dxfId="201"/>
      <tableStyleElement type="secondRowStripe" dxfId="200"/>
    </tableStyle>
    <tableStyle name="TG4 Current Shift -style 62" pivot="0" count="2" xr9:uid="{00000000-0011-0000-FFFF-FFFFB0000000}">
      <tableStyleElement type="firstRowStripe" dxfId="199"/>
      <tableStyleElement type="secondRowStripe" dxfId="198"/>
    </tableStyle>
    <tableStyle name="TG4 Current Shift -style 63" pivot="0" count="2" xr9:uid="{00000000-0011-0000-FFFF-FFFFB1000000}">
      <tableStyleElement type="firstRowStripe" dxfId="197"/>
      <tableStyleElement type="secondRowStripe" dxfId="196"/>
    </tableStyle>
    <tableStyle name="TG4 Current Shift -style 64" pivot="0" count="2" xr9:uid="{00000000-0011-0000-FFFF-FFFFB2000000}">
      <tableStyleElement type="firstRowStripe" dxfId="195"/>
      <tableStyleElement type="secondRowStripe" dxfId="194"/>
    </tableStyle>
    <tableStyle name="TG4 Current Shift -style 65" pivot="0" count="2" xr9:uid="{00000000-0011-0000-FFFF-FFFFB3000000}">
      <tableStyleElement type="firstRowStripe" dxfId="193"/>
      <tableStyleElement type="secondRowStripe" dxfId="192"/>
    </tableStyle>
    <tableStyle name="TG4 Current Shift -style 66" pivot="0" count="2" xr9:uid="{00000000-0011-0000-FFFF-FFFFB4000000}">
      <tableStyleElement type="firstRowStripe" dxfId="191"/>
      <tableStyleElement type="secondRowStripe" dxfId="190"/>
    </tableStyle>
    <tableStyle name="TG4 Current Shift -style 67" pivot="0" count="2" xr9:uid="{00000000-0011-0000-FFFF-FFFFB5000000}">
      <tableStyleElement type="firstRowStripe" dxfId="189"/>
      <tableStyleElement type="secondRowStripe" dxfId="188"/>
    </tableStyle>
    <tableStyle name="TG4 Current Shift -style 68" pivot="0" count="2" xr9:uid="{00000000-0011-0000-FFFF-FFFFB6000000}">
      <tableStyleElement type="firstRowStripe" dxfId="187"/>
      <tableStyleElement type="secondRowStripe" dxfId="186"/>
    </tableStyle>
    <tableStyle name="TG4 Current Shift -style 69" pivot="0" count="2" xr9:uid="{00000000-0011-0000-FFFF-FFFFB7000000}">
      <tableStyleElement type="firstRowStripe" dxfId="185"/>
      <tableStyleElement type="secondRowStripe" dxfId="184"/>
    </tableStyle>
    <tableStyle name="TG4 Current Shift -style 70" pivot="0" count="2" xr9:uid="{00000000-0011-0000-FFFF-FFFFB8000000}">
      <tableStyleElement type="firstRowStripe" dxfId="183"/>
      <tableStyleElement type="secondRowStripe" dxfId="182"/>
    </tableStyle>
    <tableStyle name="TG4 Current Shift -style 71" pivot="0" count="2" xr9:uid="{00000000-0011-0000-FFFF-FFFFB9000000}">
      <tableStyleElement type="firstRowStripe" dxfId="181"/>
      <tableStyleElement type="secondRowStripe" dxfId="180"/>
    </tableStyle>
    <tableStyle name="TG4 Current Shift -style 72" pivot="0" count="2" xr9:uid="{00000000-0011-0000-FFFF-FFFFBA000000}">
      <tableStyleElement type="firstRowStripe" dxfId="179"/>
      <tableStyleElement type="secondRowStripe" dxfId="178"/>
    </tableStyle>
    <tableStyle name="TG4 Current Shift -style 73" pivot="0" count="2" xr9:uid="{00000000-0011-0000-FFFF-FFFFBB000000}">
      <tableStyleElement type="firstRowStripe" dxfId="177"/>
      <tableStyleElement type="secondRowStripe" dxfId="176"/>
    </tableStyle>
    <tableStyle name="TG4 Current Shift -style 74" pivot="0" count="2" xr9:uid="{00000000-0011-0000-FFFF-FFFFBC000000}">
      <tableStyleElement type="firstRowStripe" dxfId="175"/>
      <tableStyleElement type="secondRowStripe" dxfId="174"/>
    </tableStyle>
    <tableStyle name="TG4 Current Shift -style 75" pivot="0" count="2" xr9:uid="{00000000-0011-0000-FFFF-FFFFBD000000}">
      <tableStyleElement type="firstRowStripe" dxfId="173"/>
      <tableStyleElement type="secondRowStripe" dxfId="172"/>
    </tableStyle>
    <tableStyle name="TG4 Current Shift -style 76" pivot="0" count="2" xr9:uid="{00000000-0011-0000-FFFF-FFFFBE000000}">
      <tableStyleElement type="firstRowStripe" dxfId="171"/>
      <tableStyleElement type="secondRowStripe" dxfId="170"/>
    </tableStyle>
    <tableStyle name="TG4 Current Shift -style 77" pivot="0" count="2" xr9:uid="{00000000-0011-0000-FFFF-FFFFBF000000}">
      <tableStyleElement type="firstRowStripe" dxfId="169"/>
      <tableStyleElement type="secondRowStripe" dxfId="168"/>
    </tableStyle>
    <tableStyle name="TG4 Current Shift -style 78" pivot="0" count="2" xr9:uid="{00000000-0011-0000-FFFF-FFFFC0000000}">
      <tableStyleElement type="firstRowStripe" dxfId="167"/>
      <tableStyleElement type="secondRowStripe" dxfId="166"/>
    </tableStyle>
    <tableStyle name="TG4 Current Shift -style 79" pivot="0" count="2" xr9:uid="{00000000-0011-0000-FFFF-FFFFC1000000}">
      <tableStyleElement type="firstRowStripe" dxfId="165"/>
      <tableStyleElement type="secondRowStripe" dxfId="164"/>
    </tableStyle>
    <tableStyle name="TG4 Current Shift -style 80" pivot="0" count="2" xr9:uid="{00000000-0011-0000-FFFF-FFFFC2000000}">
      <tableStyleElement type="firstRowStripe" dxfId="163"/>
      <tableStyleElement type="secondRowStripe" dxfId="162"/>
    </tableStyle>
    <tableStyle name="TG4 Current Shift -style 81" pivot="0" count="2" xr9:uid="{00000000-0011-0000-FFFF-FFFFC3000000}">
      <tableStyleElement type="firstRowStripe" dxfId="161"/>
      <tableStyleElement type="secondRowStripe" dxfId="160"/>
    </tableStyle>
    <tableStyle name="TG4 Current Shift -style 82" pivot="0" count="2" xr9:uid="{00000000-0011-0000-FFFF-FFFFC4000000}">
      <tableStyleElement type="firstRowStripe" dxfId="159"/>
      <tableStyleElement type="secondRowStripe" dxfId="158"/>
    </tableStyle>
    <tableStyle name="TG4 Current Shift -style 83" pivot="0" count="2" xr9:uid="{00000000-0011-0000-FFFF-FFFFC5000000}">
      <tableStyleElement type="firstRowStripe" dxfId="157"/>
      <tableStyleElement type="secondRowStripe" dxfId="156"/>
    </tableStyle>
    <tableStyle name="TG4 Current Shift -style 84" pivot="0" count="2" xr9:uid="{00000000-0011-0000-FFFF-FFFFC6000000}">
      <tableStyleElement type="firstRowStripe" dxfId="155"/>
      <tableStyleElement type="secondRowStripe" dxfId="154"/>
    </tableStyle>
    <tableStyle name="TG4 Current Shift -style 85" pivot="0" count="2" xr9:uid="{00000000-0011-0000-FFFF-FFFFC7000000}">
      <tableStyleElement type="firstRowStripe" dxfId="153"/>
      <tableStyleElement type="secondRowStripe" dxfId="152"/>
    </tableStyle>
    <tableStyle name="TG4 Current Shift -style 86" pivot="0" count="2" xr9:uid="{00000000-0011-0000-FFFF-FFFFC8000000}">
      <tableStyleElement type="firstRowStripe" dxfId="151"/>
      <tableStyleElement type="secondRowStripe" dxfId="150"/>
    </tableStyle>
    <tableStyle name="TG4 Current Shift -style 87" pivot="0" count="2" xr9:uid="{00000000-0011-0000-FFFF-FFFFC9000000}">
      <tableStyleElement type="firstRowStripe" dxfId="149"/>
      <tableStyleElement type="secondRowStripe" dxfId="148"/>
    </tableStyle>
    <tableStyle name="TG4 Current Shift -style 88" pivot="0" count="2" xr9:uid="{00000000-0011-0000-FFFF-FFFFCA000000}">
      <tableStyleElement type="firstRowStripe" dxfId="147"/>
      <tableStyleElement type="secondRowStripe" dxfId="146"/>
    </tableStyle>
    <tableStyle name="TG4 Current Shift -style 89" pivot="0" count="2" xr9:uid="{00000000-0011-0000-FFFF-FFFFCB000000}">
      <tableStyleElement type="firstRowStripe" dxfId="145"/>
      <tableStyleElement type="secondRowStripe" dxfId="144"/>
    </tableStyle>
    <tableStyle name="TG4 Current Shift -style 90" pivot="0" count="2" xr9:uid="{00000000-0011-0000-FFFF-FFFFCC000000}">
      <tableStyleElement type="firstRowStripe" dxfId="143"/>
      <tableStyleElement type="secondRowStripe" dxfId="142"/>
    </tableStyle>
    <tableStyle name="TG4 Current Shift -style 91" pivot="0" count="2" xr9:uid="{00000000-0011-0000-FFFF-FFFFCD000000}">
      <tableStyleElement type="firstRowStripe" dxfId="141"/>
      <tableStyleElement type="secondRowStripe" dxfId="140"/>
    </tableStyle>
    <tableStyle name="TG4 Current Shift -style 92" pivot="0" count="2" xr9:uid="{00000000-0011-0000-FFFF-FFFFCE000000}">
      <tableStyleElement type="firstRowStripe" dxfId="139"/>
      <tableStyleElement type="secondRowStripe" dxfId="138"/>
    </tableStyle>
    <tableStyle name="TG4 Current Shift -style 93" pivot="0" count="2" xr9:uid="{00000000-0011-0000-FFFF-FFFFCF000000}">
      <tableStyleElement type="firstRowStripe" dxfId="137"/>
      <tableStyleElement type="secondRowStripe" dxfId="136"/>
    </tableStyle>
    <tableStyle name="TG4 Current Shift -style 94" pivot="0" count="2" xr9:uid="{00000000-0011-0000-FFFF-FFFFD0000000}">
      <tableStyleElement type="firstRowStripe" dxfId="135"/>
      <tableStyleElement type="secondRowStripe" dxfId="134"/>
    </tableStyle>
    <tableStyle name="TG4 Current Shift -style 95" pivot="0" count="2" xr9:uid="{00000000-0011-0000-FFFF-FFFFD1000000}">
      <tableStyleElement type="firstRowStripe" dxfId="133"/>
      <tableStyleElement type="secondRowStripe" dxfId="132"/>
    </tableStyle>
    <tableStyle name="TG4 Current Shift -style 96" pivot="0" count="2" xr9:uid="{00000000-0011-0000-FFFF-FFFFD2000000}">
      <tableStyleElement type="firstRowStripe" dxfId="131"/>
      <tableStyleElement type="secondRowStripe" dxfId="130"/>
    </tableStyle>
    <tableStyle name="TG4 Current Shift -style 97" pivot="0" count="2" xr9:uid="{00000000-0011-0000-FFFF-FFFFD3000000}">
      <tableStyleElement type="firstRowStripe" dxfId="129"/>
      <tableStyleElement type="secondRowStripe" dxfId="128"/>
    </tableStyle>
    <tableStyle name="TG4 Current Shift -style 98" pivot="0" count="2" xr9:uid="{00000000-0011-0000-FFFF-FFFFD4000000}">
      <tableStyleElement type="firstRowStripe" dxfId="127"/>
      <tableStyleElement type="secondRowStripe" dxfId="126"/>
    </tableStyle>
    <tableStyle name="TG4 Current Shift -style 99" pivot="0" count="2" xr9:uid="{00000000-0011-0000-FFFF-FFFFD5000000}">
      <tableStyleElement type="firstRowStripe" dxfId="125"/>
      <tableStyleElement type="secondRowStripe" dxfId="124"/>
    </tableStyle>
    <tableStyle name="TG4 Current Shift -style 100" pivot="0" count="2" xr9:uid="{00000000-0011-0000-FFFF-FFFFD6000000}">
      <tableStyleElement type="firstRowStripe" dxfId="123"/>
      <tableStyleElement type="secondRowStripe" dxfId="122"/>
    </tableStyle>
    <tableStyle name="TG4 Current Shift -style 101" pivot="0" count="2" xr9:uid="{00000000-0011-0000-FFFF-FFFFD7000000}">
      <tableStyleElement type="firstRowStripe" dxfId="121"/>
      <tableStyleElement type="secondRowStripe" dxfId="120"/>
    </tableStyle>
    <tableStyle name="TG4 Current Shift -style 102" pivot="0" count="2" xr9:uid="{00000000-0011-0000-FFFF-FFFFD8000000}">
      <tableStyleElement type="firstRowStripe" dxfId="119"/>
      <tableStyleElement type="secondRowStripe" dxfId="118"/>
    </tableStyle>
    <tableStyle name="TG4 Current Shift -style 103" pivot="0" count="2" xr9:uid="{00000000-0011-0000-FFFF-FFFFD9000000}">
      <tableStyleElement type="firstRowStripe" dxfId="117"/>
      <tableStyleElement type="secondRowStripe" dxfId="116"/>
    </tableStyle>
    <tableStyle name="TG4 Current Shift -style 104" pivot="0" count="2" xr9:uid="{00000000-0011-0000-FFFF-FFFFDA000000}">
      <tableStyleElement type="firstRowStripe" dxfId="115"/>
      <tableStyleElement type="secondRowStripe" dxfId="114"/>
    </tableStyle>
    <tableStyle name="TG4 Current Shift -style 105" pivot="0" count="2" xr9:uid="{00000000-0011-0000-FFFF-FFFFDB000000}">
      <tableStyleElement type="firstRowStripe" dxfId="113"/>
      <tableStyleElement type="secondRowStripe" dxfId="112"/>
    </tableStyle>
    <tableStyle name="TG4 Current Shift -style 106" pivot="0" count="2" xr9:uid="{00000000-0011-0000-FFFF-FFFFDC000000}">
      <tableStyleElement type="firstRowStripe" dxfId="111"/>
      <tableStyleElement type="secondRowStripe" dxfId="110"/>
    </tableStyle>
    <tableStyle name="TG4 Current Shift -style 107" pivot="0" count="2" xr9:uid="{00000000-0011-0000-FFFF-FFFFDD000000}">
      <tableStyleElement type="firstRowStripe" dxfId="109"/>
      <tableStyleElement type="secondRowStripe" dxfId="108"/>
    </tableStyle>
    <tableStyle name="TG4 Current Shift -style 108" pivot="0" count="2" xr9:uid="{00000000-0011-0000-FFFF-FFFFDE000000}">
      <tableStyleElement type="firstRowStripe" dxfId="107"/>
      <tableStyleElement type="secondRowStripe" dxfId="106"/>
    </tableStyle>
    <tableStyle name="TG4 Current Shift -style 109" pivot="0" count="2" xr9:uid="{00000000-0011-0000-FFFF-FFFFDF000000}">
      <tableStyleElement type="firstRowStripe" dxfId="105"/>
      <tableStyleElement type="secondRowStripe" dxfId="104"/>
    </tableStyle>
    <tableStyle name="TG4 Current Shift -style 110" pivot="0" count="2" xr9:uid="{00000000-0011-0000-FFFF-FFFFE0000000}">
      <tableStyleElement type="firstRowStripe" dxfId="103"/>
      <tableStyleElement type="secondRowStripe" dxfId="102"/>
    </tableStyle>
    <tableStyle name="TG4 Current Shift -style 111" pivot="0" count="2" xr9:uid="{00000000-0011-0000-FFFF-FFFFE1000000}">
      <tableStyleElement type="firstRowStripe" dxfId="101"/>
      <tableStyleElement type="secondRowStripe" dxfId="100"/>
    </tableStyle>
    <tableStyle name="TG4 Current Shift -style 112" pivot="0" count="2" xr9:uid="{00000000-0011-0000-FFFF-FFFFE2000000}">
      <tableStyleElement type="firstRowStripe" dxfId="99"/>
      <tableStyleElement type="secondRowStripe" dxfId="98"/>
    </tableStyle>
    <tableStyle name="TG4 Current Shift -style 113" pivot="0" count="2" xr9:uid="{00000000-0011-0000-FFFF-FFFFE3000000}">
      <tableStyleElement type="firstRowStripe" dxfId="97"/>
      <tableStyleElement type="secondRowStripe" dxfId="96"/>
    </tableStyle>
    <tableStyle name="TG4 Current Shift -style 114" pivot="0" count="2" xr9:uid="{00000000-0011-0000-FFFF-FFFFE4000000}">
      <tableStyleElement type="firstRowStripe" dxfId="95"/>
      <tableStyleElement type="secondRowStripe" dxfId="94"/>
    </tableStyle>
    <tableStyle name="TG4 Current Shift -style 115" pivot="0" count="2" xr9:uid="{00000000-0011-0000-FFFF-FFFFE5000000}">
      <tableStyleElement type="firstRowStripe" dxfId="93"/>
      <tableStyleElement type="secondRowStripe" dxfId="92"/>
    </tableStyle>
    <tableStyle name="TG4 Current Shift -style 116" pivot="0" count="2" xr9:uid="{00000000-0011-0000-FFFF-FFFFE6000000}">
      <tableStyleElement type="firstRowStripe" dxfId="91"/>
      <tableStyleElement type="secondRowStripe" dxfId="90"/>
    </tableStyle>
    <tableStyle name="TG4 Current Shift -style 117" pivot="0" count="2" xr9:uid="{00000000-0011-0000-FFFF-FFFFE7000000}">
      <tableStyleElement type="firstRowStripe" dxfId="89"/>
      <tableStyleElement type="secondRowStripe" dxfId="88"/>
    </tableStyle>
    <tableStyle name="TG4 Current Shift -style 118" pivot="0" count="2" xr9:uid="{00000000-0011-0000-FFFF-FFFFE8000000}">
      <tableStyleElement type="firstRowStripe" dxfId="87"/>
      <tableStyleElement type="secondRowStripe" dxfId="86"/>
    </tableStyle>
    <tableStyle name="TG4 Current Shift -style 119" pivot="0" count="2" xr9:uid="{00000000-0011-0000-FFFF-FFFFE9000000}">
      <tableStyleElement type="firstRowStripe" dxfId="85"/>
      <tableStyleElement type="secondRowStripe" dxfId="84"/>
    </tableStyle>
    <tableStyle name="TG4 Current Shift -style 120" pivot="0" count="2" xr9:uid="{00000000-0011-0000-FFFF-FFFFEA000000}">
      <tableStyleElement type="firstRowStripe" dxfId="83"/>
      <tableStyleElement type="secondRowStripe" dxfId="82"/>
    </tableStyle>
    <tableStyle name="TG4 Current Shift -style 121" pivot="0" count="2" xr9:uid="{00000000-0011-0000-FFFF-FFFFEB000000}">
      <tableStyleElement type="firstRowStripe" dxfId="81"/>
      <tableStyleElement type="secondRowStripe" dxfId="80"/>
    </tableStyle>
    <tableStyle name="TG4 Current Shift -style 122" pivot="0" count="2" xr9:uid="{00000000-0011-0000-FFFF-FFFFEC000000}">
      <tableStyleElement type="firstRowStripe" dxfId="79"/>
      <tableStyleElement type="secondRowStripe" dxfId="78"/>
    </tableStyle>
    <tableStyle name="TG4 Current Shift -style 123" pivot="0" count="2" xr9:uid="{00000000-0011-0000-FFFF-FFFFED000000}">
      <tableStyleElement type="firstRowStripe" dxfId="77"/>
      <tableStyleElement type="secondRowStripe" dxfId="76"/>
    </tableStyle>
    <tableStyle name="TG4 Current Shift -style 124" pivot="0" count="2" xr9:uid="{00000000-0011-0000-FFFF-FFFFEE000000}">
      <tableStyleElement type="firstRowStripe" dxfId="75"/>
      <tableStyleElement type="secondRowStripe" dxfId="74"/>
    </tableStyle>
    <tableStyle name="TG4 Current Shift -style 125" pivot="0" count="2" xr9:uid="{00000000-0011-0000-FFFF-FFFFEF000000}">
      <tableStyleElement type="firstRowStripe" dxfId="73"/>
      <tableStyleElement type="secondRowStripe" dxfId="72"/>
    </tableStyle>
    <tableStyle name="TG4 Current Shift -style 126" pivot="0" count="2" xr9:uid="{00000000-0011-0000-FFFF-FFFFF0000000}">
      <tableStyleElement type="firstRowStripe" dxfId="71"/>
      <tableStyleElement type="secondRowStripe" dxfId="70"/>
    </tableStyle>
    <tableStyle name="TG4 Current Shift -style 127" pivot="0" count="2" xr9:uid="{00000000-0011-0000-FFFF-FFFFF1000000}">
      <tableStyleElement type="firstRowStripe" dxfId="69"/>
      <tableStyleElement type="secondRowStripe" dxfId="68"/>
    </tableStyle>
    <tableStyle name="TG4 Current Shift -style 128" pivot="0" count="2" xr9:uid="{00000000-0011-0000-FFFF-FFFFF2000000}">
      <tableStyleElement type="firstRowStripe" dxfId="67"/>
      <tableStyleElement type="secondRowStripe" dxfId="66"/>
    </tableStyle>
    <tableStyle name="TG4 Current Shift -style 129" pivot="0" count="2" xr9:uid="{00000000-0011-0000-FFFF-FFFFF3000000}">
      <tableStyleElement type="firstRowStripe" dxfId="65"/>
      <tableStyleElement type="secondRowStripe" dxfId="64"/>
    </tableStyle>
    <tableStyle name="TG4 Current Shift -style 130" pivot="0" count="2" xr9:uid="{00000000-0011-0000-FFFF-FFFFF4000000}">
      <tableStyleElement type="firstRowStripe" dxfId="63"/>
      <tableStyleElement type="secondRowStripe" dxfId="62"/>
    </tableStyle>
    <tableStyle name="TG4 Current Shift -style 131" pivot="0" count="2" xr9:uid="{00000000-0011-0000-FFFF-FFFFF5000000}">
      <tableStyleElement type="firstRowStripe" dxfId="61"/>
      <tableStyleElement type="secondRowStripe" dxfId="60"/>
    </tableStyle>
    <tableStyle name="TG4 Current Shift -style 132" pivot="0" count="2" xr9:uid="{00000000-0011-0000-FFFF-FFFFF6000000}">
      <tableStyleElement type="firstRowStripe" dxfId="59"/>
      <tableStyleElement type="secondRowStripe" dxfId="58"/>
    </tableStyle>
    <tableStyle name="TG4 Current Shift -style 133" pivot="0" count="2" xr9:uid="{00000000-0011-0000-FFFF-FFFFF7000000}">
      <tableStyleElement type="firstRowStripe" dxfId="57"/>
      <tableStyleElement type="secondRowStripe" dxfId="56"/>
    </tableStyle>
    <tableStyle name="TG4 Current Shift -style 134" pivot="0" count="2" xr9:uid="{00000000-0011-0000-FFFF-FFFFF8000000}">
      <tableStyleElement type="firstRowStripe" dxfId="55"/>
      <tableStyleElement type="secondRowStripe" dxfId="54"/>
    </tableStyle>
    <tableStyle name="TG4 Current Shift -style 135" pivot="0" count="2" xr9:uid="{00000000-0011-0000-FFFF-FFFFF9000000}">
      <tableStyleElement type="firstRowStripe" dxfId="53"/>
      <tableStyleElement type="secondRowStripe" dxfId="52"/>
    </tableStyle>
    <tableStyle name="TG4 Current Shift -style 136" pivot="0" count="2" xr9:uid="{00000000-0011-0000-FFFF-FFFFFA000000}">
      <tableStyleElement type="firstRowStripe" dxfId="51"/>
      <tableStyleElement type="secondRowStripe" dxfId="50"/>
    </tableStyle>
    <tableStyle name="TG4 Current Shift -style 137" pivot="0" count="2" xr9:uid="{00000000-0011-0000-FFFF-FFFFFB000000}">
      <tableStyleElement type="firstRowStripe" dxfId="49"/>
      <tableStyleElement type="secondRowStripe" dxfId="48"/>
    </tableStyle>
    <tableStyle name="TG4 Current Shift -style 138" pivot="0" count="2" xr9:uid="{00000000-0011-0000-FFFF-FFFFFC000000}">
      <tableStyleElement type="firstRowStripe" dxfId="47"/>
      <tableStyleElement type="secondRowStripe" dxfId="46"/>
    </tableStyle>
    <tableStyle name="TG4 Current Shift -style 139" pivot="0" count="2" xr9:uid="{00000000-0011-0000-FFFF-FFFFFD000000}">
      <tableStyleElement type="firstRowStripe" dxfId="45"/>
      <tableStyleElement type="secondRowStripe" dxfId="44"/>
    </tableStyle>
    <tableStyle name="TG4 Current Shift -style 140" pivot="0" count="2" xr9:uid="{00000000-0011-0000-FFFF-FFFFFE000000}">
      <tableStyleElement type="firstRowStripe" dxfId="43"/>
      <tableStyleElement type="secondRowStripe" dxfId="42"/>
    </tableStyle>
    <tableStyle name="TG4 Current Shift -style 141" pivot="0" count="2" xr9:uid="{00000000-0011-0000-FFFF-FFFFFF000000}">
      <tableStyleElement type="firstRowStripe" dxfId="41"/>
      <tableStyleElement type="secondRowStripe" dxfId="40"/>
    </tableStyle>
    <tableStyle name="TG4 Current Shift -style 142" pivot="0" count="2" xr9:uid="{00000000-0011-0000-FFFF-FFFF00010000}">
      <tableStyleElement type="firstRowStripe" dxfId="39"/>
      <tableStyleElement type="secondRowStripe" dxfId="38"/>
    </tableStyle>
    <tableStyle name="TG4 Current Shift -style 143" pivot="0" count="2" xr9:uid="{00000000-0011-0000-FFFF-FFFF01010000}">
      <tableStyleElement type="firstRowStripe" dxfId="37"/>
      <tableStyleElement type="secondRowStripe" dxfId="36"/>
    </tableStyle>
    <tableStyle name="TG4 Current Shift -style 144" pivot="0" count="2" xr9:uid="{00000000-0011-0000-FFFF-FFFF02010000}">
      <tableStyleElement type="firstRowStripe" dxfId="35"/>
      <tableStyleElement type="secondRowStripe" dxfId="34"/>
    </tableStyle>
    <tableStyle name="TG4 Current Shift -style 145" pivot="0" count="2" xr9:uid="{00000000-0011-0000-FFFF-FFFF03010000}">
      <tableStyleElement type="firstRowStripe" dxfId="33"/>
      <tableStyleElement type="secondRowStripe" dxfId="32"/>
    </tableStyle>
    <tableStyle name="TG4 Current Shift -style 146" pivot="0" count="2" xr9:uid="{00000000-0011-0000-FFFF-FFFF04010000}">
      <tableStyleElement type="firstRowStripe" dxfId="31"/>
      <tableStyleElement type="secondRowStripe" dxfId="30"/>
    </tableStyle>
    <tableStyle name="TG4 Current Shift -style 147" pivot="0" count="2" xr9:uid="{00000000-0011-0000-FFFF-FFFF05010000}">
      <tableStyleElement type="firstRowStripe" dxfId="29"/>
      <tableStyleElement type="secondRowStripe" dxfId="28"/>
    </tableStyle>
    <tableStyle name="TG4 Current Shift -style 148" pivot="0" count="2" xr9:uid="{00000000-0011-0000-FFFF-FFFF06010000}">
      <tableStyleElement type="firstRowStripe" dxfId="27"/>
      <tableStyleElement type="secondRowStripe" dxfId="26"/>
    </tableStyle>
    <tableStyle name="TG4 Current Shift -style 149" pivot="0" count="2" xr9:uid="{00000000-0011-0000-FFFF-FFFF07010000}">
      <tableStyleElement type="firstRowStripe" dxfId="25"/>
      <tableStyleElement type="secondRowStripe" dxfId="24"/>
    </tableStyle>
    <tableStyle name="TG4 Current Shift -style 150" pivot="0" count="2" xr9:uid="{00000000-0011-0000-FFFF-FFFF08010000}">
      <tableStyleElement type="firstRowStripe" dxfId="23"/>
      <tableStyleElement type="secondRowStripe" dxfId="22"/>
    </tableStyle>
    <tableStyle name="TG4 Current Shift -style 151" pivot="0" count="2" xr9:uid="{00000000-0011-0000-FFFF-FFFF09010000}">
      <tableStyleElement type="firstRowStripe" dxfId="21"/>
      <tableStyleElement type="secondRowStripe" dxfId="20"/>
    </tableStyle>
    <tableStyle name="TG4 Current Shift -style 152" pivot="0" count="2" xr9:uid="{00000000-0011-0000-FFFF-FFFF0A010000}">
      <tableStyleElement type="firstRowStripe" dxfId="19"/>
      <tableStyleElement type="secondRowStripe" dxfId="18"/>
    </tableStyle>
    <tableStyle name="TG4 Current Shift -style 153" pivot="0" count="2" xr9:uid="{00000000-0011-0000-FFFF-FFFF0B010000}">
      <tableStyleElement type="firstRowStripe" dxfId="17"/>
      <tableStyleElement type="secondRowStripe" dxfId="16"/>
    </tableStyle>
    <tableStyle name="TG4 Current Shift -style 154" pivot="0" count="2" xr9:uid="{00000000-0011-0000-FFFF-FFFF0C010000}">
      <tableStyleElement type="firstRowStripe" dxfId="15"/>
      <tableStyleElement type="secondRowStripe" dxfId="14"/>
    </tableStyle>
    <tableStyle name="TG4 Current Shift -style 155" pivot="0" count="2" xr9:uid="{00000000-0011-0000-FFFF-FFFF0D010000}">
      <tableStyleElement type="firstRowStripe" dxfId="13"/>
      <tableStyleElement type="secondRowStripe" dxfId="12"/>
    </tableStyle>
    <tableStyle name="TG4 Current Shift -style 156" pivot="0" count="2" xr9:uid="{00000000-0011-0000-FFFF-FFFF0E010000}">
      <tableStyleElement type="firstRowStripe" dxfId="11"/>
      <tableStyleElement type="secondRowStripe" dxfId="10"/>
    </tableStyle>
    <tableStyle name="TG4 Current Shift -style 157" pivot="0" count="2" xr9:uid="{00000000-0011-0000-FFFF-FFFF0F010000}">
      <tableStyleElement type="firstRowStripe" dxfId="9"/>
      <tableStyleElement type="secondRowStripe" dxfId="8"/>
    </tableStyle>
    <tableStyle name="TG4 Current Shift -style 158" pivot="0" count="2" xr9:uid="{00000000-0011-0000-FFFF-FFFF10010000}">
      <tableStyleElement type="firstRowStripe" dxfId="7"/>
      <tableStyleElement type="secondRowStripe" dxfId="6"/>
    </tableStyle>
    <tableStyle name="TG4 Current Shift -style 159" pivot="0" count="2" xr9:uid="{00000000-0011-0000-FFFF-FFFF11010000}">
      <tableStyleElement type="firstRowStripe" dxfId="5"/>
      <tableStyleElement type="secondRowStripe" dxfId="4"/>
    </tableStyle>
    <tableStyle name="TG4 Current Shift -style 160" pivot="0" count="2" xr9:uid="{00000000-0011-0000-FFFF-FFFF12010000}">
      <tableStyleElement type="firstRowStripe" dxfId="3"/>
      <tableStyleElement type="secondRowStripe" dxfId="2"/>
    </tableStyle>
    <tableStyle name="TG4 Current Shift -style 161" pivot="0" count="2" xr9:uid="{00000000-0011-0000-FFFF-FFFF13010000}"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customschemas.google.com/relationships/workbookmetadata" Target="metadata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sharedStrings" Target="sharedStrings.xml"/><Relationship Id="rId10" Type="http://schemas.openxmlformats.org/officeDocument/2006/relationships/styles" Target="styles.xml"/><Relationship Id="rId9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6" xr:uid="{00000000-000C-0000-FFFF-FFFF73000000}" name="Table_116" displayName="Table_116" ref="I13:L14" headerRowCount="0">
  <tableColumns count="4">
    <tableColumn id="1" xr3:uid="{00000000-0010-0000-7300-000001000000}" name="Column1"/>
    <tableColumn id="2" xr3:uid="{00000000-0010-0000-7300-000002000000}" name="Column2"/>
    <tableColumn id="3" xr3:uid="{00000000-0010-0000-7300-000003000000}" name="Column3"/>
    <tableColumn id="4" xr3:uid="{00000000-0010-0000-7300-000004000000}" name="Column4"/>
  </tableColumns>
  <tableStyleInfo name="TG4 Current Shift -style" showFirstColumn="1" showLastColumn="1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7" xr:uid="{00000000-000C-0000-FFFF-FFFF74000000}" name="Table_117" displayName="Table_117" ref="I20:L21" headerRowCount="0">
  <tableColumns count="4">
    <tableColumn id="1" xr3:uid="{00000000-0010-0000-7400-000001000000}" name="Column1"/>
    <tableColumn id="2" xr3:uid="{00000000-0010-0000-7400-000002000000}" name="Column2"/>
    <tableColumn id="3" xr3:uid="{00000000-0010-0000-7400-000003000000}" name="Column3"/>
    <tableColumn id="4" xr3:uid="{00000000-0010-0000-7400-000004000000}" name="Column4"/>
  </tableColumns>
  <tableStyleInfo name="TG4 Current Shift -style 2" showFirstColumn="1" showLastColumn="1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8" xr:uid="{00000000-000C-0000-FFFF-FFFF75000000}" name="Table_118" displayName="Table_118" ref="I22:L22" headerRowCount="0">
  <tableColumns count="4">
    <tableColumn id="1" xr3:uid="{00000000-0010-0000-7500-000001000000}" name="Column1"/>
    <tableColumn id="2" xr3:uid="{00000000-0010-0000-7500-000002000000}" name="Column2"/>
    <tableColumn id="3" xr3:uid="{00000000-0010-0000-7500-000003000000}" name="Column3"/>
    <tableColumn id="4" xr3:uid="{00000000-0010-0000-7500-000004000000}" name="Column4"/>
  </tableColumns>
  <tableStyleInfo name="TG4 Current Shift -style 3" showFirstColumn="1" showLastColumn="1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9" xr:uid="{00000000-000C-0000-FFFF-FFFF76000000}" name="Table_119" displayName="Table_119" ref="N23:Q24" headerRowCount="0">
  <tableColumns count="4">
    <tableColumn id="1" xr3:uid="{00000000-0010-0000-7600-000001000000}" name="Column1"/>
    <tableColumn id="2" xr3:uid="{00000000-0010-0000-7600-000002000000}" name="Column2"/>
    <tableColumn id="3" xr3:uid="{00000000-0010-0000-7600-000003000000}" name="Column3"/>
    <tableColumn id="4" xr3:uid="{00000000-0010-0000-7600-000004000000}" name="Column4"/>
  </tableColumns>
  <tableStyleInfo name="TG4 Current Shift -style 4" showFirstColumn="1" showLastColumn="1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0" xr:uid="{00000000-000C-0000-FFFF-FFFF77000000}" name="Table_120" displayName="Table_120" ref="I24:L25" headerRowCount="0">
  <tableColumns count="4">
    <tableColumn id="1" xr3:uid="{00000000-0010-0000-7700-000001000000}" name="Column1"/>
    <tableColumn id="2" xr3:uid="{00000000-0010-0000-7700-000002000000}" name="Column2"/>
    <tableColumn id="3" xr3:uid="{00000000-0010-0000-7700-000003000000}" name="Column3"/>
    <tableColumn id="4" xr3:uid="{00000000-0010-0000-7700-000004000000}" name="Column4"/>
  </tableColumns>
  <tableStyleInfo name="TG4 Current Shift -style 5" showFirstColumn="1" showLastColumn="1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1" xr:uid="{00000000-000C-0000-FFFF-FFFF78000000}" name="Table_121" displayName="Table_121" ref="D26:H26" headerRowCount="0">
  <tableColumns count="5">
    <tableColumn id="1" xr3:uid="{00000000-0010-0000-7800-000001000000}" name="Column1"/>
    <tableColumn id="2" xr3:uid="{00000000-0010-0000-7800-000002000000}" name="Column2"/>
    <tableColumn id="3" xr3:uid="{00000000-0010-0000-7800-000003000000}" name="Column3"/>
    <tableColumn id="4" xr3:uid="{00000000-0010-0000-7800-000004000000}" name="Column4"/>
    <tableColumn id="5" xr3:uid="{00000000-0010-0000-7800-000005000000}" name="Column5"/>
  </tableColumns>
  <tableStyleInfo name="TG4 Current Shift -style 6" showFirstColumn="1" showLastColumn="1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2" xr:uid="{00000000-000C-0000-FFFF-FFFF79000000}" name="Table_122" displayName="Table_122" ref="D27:L27" headerRowCount="0">
  <tableColumns count="9">
    <tableColumn id="1" xr3:uid="{00000000-0010-0000-7900-000001000000}" name="Column1"/>
    <tableColumn id="2" xr3:uid="{00000000-0010-0000-7900-000002000000}" name="Column2"/>
    <tableColumn id="3" xr3:uid="{00000000-0010-0000-7900-000003000000}" name="Column3"/>
    <tableColumn id="4" xr3:uid="{00000000-0010-0000-7900-000004000000}" name="Column4"/>
    <tableColumn id="5" xr3:uid="{00000000-0010-0000-7900-000005000000}" name="Column5"/>
    <tableColumn id="6" xr3:uid="{00000000-0010-0000-7900-000006000000}" name="Column6"/>
    <tableColumn id="7" xr3:uid="{00000000-0010-0000-7900-000007000000}" name="Column7"/>
    <tableColumn id="8" xr3:uid="{00000000-0010-0000-7900-000008000000}" name="Column8"/>
    <tableColumn id="9" xr3:uid="{00000000-0010-0000-7900-000009000000}" name="Column9"/>
  </tableColumns>
  <tableStyleInfo name="TG4 Current Shift -style 7" showFirstColumn="1" showLastColumn="1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3" xr:uid="{00000000-000C-0000-FFFF-FFFF7A000000}" name="Table_123" displayName="Table_123" ref="D28:L28" headerRowCount="0">
  <tableColumns count="9">
    <tableColumn id="1" xr3:uid="{00000000-0010-0000-7A00-000001000000}" name="Column1"/>
    <tableColumn id="2" xr3:uid="{00000000-0010-0000-7A00-000002000000}" name="Column2"/>
    <tableColumn id="3" xr3:uid="{00000000-0010-0000-7A00-000003000000}" name="Column3"/>
    <tableColumn id="4" xr3:uid="{00000000-0010-0000-7A00-000004000000}" name="Column4"/>
    <tableColumn id="5" xr3:uid="{00000000-0010-0000-7A00-000005000000}" name="Column5"/>
    <tableColumn id="6" xr3:uid="{00000000-0010-0000-7A00-000006000000}" name="Column6"/>
    <tableColumn id="7" xr3:uid="{00000000-0010-0000-7A00-000007000000}" name="Column7"/>
    <tableColumn id="8" xr3:uid="{00000000-0010-0000-7A00-000008000000}" name="Column8"/>
    <tableColumn id="9" xr3:uid="{00000000-0010-0000-7A00-000009000000}" name="Column9"/>
  </tableColumns>
  <tableStyleInfo name="TG4 Current Shift -style 8" showFirstColumn="1" showLastColumn="1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4" xr:uid="{00000000-000C-0000-FFFF-FFFF7B000000}" name="Table_124" displayName="Table_124" ref="N28:Q30" headerRowCount="0">
  <tableColumns count="4">
    <tableColumn id="1" xr3:uid="{00000000-0010-0000-7B00-000001000000}" name="Column1"/>
    <tableColumn id="2" xr3:uid="{00000000-0010-0000-7B00-000002000000}" name="Column2"/>
    <tableColumn id="3" xr3:uid="{00000000-0010-0000-7B00-000003000000}" name="Column3"/>
    <tableColumn id="4" xr3:uid="{00000000-0010-0000-7B00-000004000000}" name="Column4"/>
  </tableColumns>
  <tableStyleInfo name="TG4 Current Shift -style 9" showFirstColumn="1" showLastColumn="1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5" xr:uid="{00000000-000C-0000-FFFF-FFFF7C000000}" name="Table_125" displayName="Table_125" ref="D29:L29" headerRowCount="0">
  <tableColumns count="9">
    <tableColumn id="1" xr3:uid="{00000000-0010-0000-7C00-000001000000}" name="Column1"/>
    <tableColumn id="2" xr3:uid="{00000000-0010-0000-7C00-000002000000}" name="Column2"/>
    <tableColumn id="3" xr3:uid="{00000000-0010-0000-7C00-000003000000}" name="Column3"/>
    <tableColumn id="4" xr3:uid="{00000000-0010-0000-7C00-000004000000}" name="Column4"/>
    <tableColumn id="5" xr3:uid="{00000000-0010-0000-7C00-000005000000}" name="Column5"/>
    <tableColumn id="6" xr3:uid="{00000000-0010-0000-7C00-000006000000}" name="Column6"/>
    <tableColumn id="7" xr3:uid="{00000000-0010-0000-7C00-000007000000}" name="Column7"/>
    <tableColumn id="8" xr3:uid="{00000000-0010-0000-7C00-000008000000}" name="Column8"/>
    <tableColumn id="9" xr3:uid="{00000000-0010-0000-7C00-000009000000}" name="Column9"/>
  </tableColumns>
  <tableStyleInfo name="TG4 Current Shift -style 10" showFirstColumn="1" showLastColumn="1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6" xr:uid="{00000000-000C-0000-FFFF-FFFF7D000000}" name="Table_126" displayName="Table_126" ref="S29:V29" headerRowCount="0">
  <tableColumns count="4">
    <tableColumn id="1" xr3:uid="{00000000-0010-0000-7D00-000001000000}" name="Column1"/>
    <tableColumn id="2" xr3:uid="{00000000-0010-0000-7D00-000002000000}" name="Column2"/>
    <tableColumn id="3" xr3:uid="{00000000-0010-0000-7D00-000003000000}" name="Column3"/>
    <tableColumn id="4" xr3:uid="{00000000-0010-0000-7D00-000004000000}" name="Column4"/>
  </tableColumns>
  <tableStyleInfo name="TG4 Current Shift -style 11" showFirstColumn="1" showLastColumn="1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7" xr:uid="{00000000-000C-0000-FFFF-FFFF7E000000}" name="Table_127" displayName="Table_127" ref="D30:K30" headerRowCount="0">
  <tableColumns count="8">
    <tableColumn id="1" xr3:uid="{00000000-0010-0000-7E00-000001000000}" name="Column1"/>
    <tableColumn id="2" xr3:uid="{00000000-0010-0000-7E00-000002000000}" name="Column2"/>
    <tableColumn id="3" xr3:uid="{00000000-0010-0000-7E00-000003000000}" name="Column3"/>
    <tableColumn id="4" xr3:uid="{00000000-0010-0000-7E00-000004000000}" name="Column4"/>
    <tableColumn id="5" xr3:uid="{00000000-0010-0000-7E00-000005000000}" name="Column5"/>
    <tableColumn id="6" xr3:uid="{00000000-0010-0000-7E00-000006000000}" name="Column6"/>
    <tableColumn id="7" xr3:uid="{00000000-0010-0000-7E00-000007000000}" name="Column7"/>
    <tableColumn id="8" xr3:uid="{00000000-0010-0000-7E00-000008000000}" name="Column8"/>
  </tableColumns>
  <tableStyleInfo name="TG4 Current Shift -style 12" showFirstColumn="1" showLastColumn="1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8" xr:uid="{00000000-000C-0000-FFFF-FFFF7F000000}" name="Table_128" displayName="Table_128" ref="D33:G33" headerRowCount="0">
  <tableColumns count="4">
    <tableColumn id="1" xr3:uid="{00000000-0010-0000-7F00-000001000000}" name="Column1"/>
    <tableColumn id="2" xr3:uid="{00000000-0010-0000-7F00-000002000000}" name="Column2"/>
    <tableColumn id="3" xr3:uid="{00000000-0010-0000-7F00-000003000000}" name="Column3"/>
    <tableColumn id="4" xr3:uid="{00000000-0010-0000-7F00-000004000000}" name="Column4"/>
  </tableColumns>
  <tableStyleInfo name="TG4 Current Shift -style 13" showFirstColumn="1" showLastColumn="1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9" xr:uid="{00000000-000C-0000-FFFF-FFFF80000000}" name="Table_129" displayName="Table_129" ref="I33:J33" headerRowCount="0">
  <tableColumns count="2">
    <tableColumn id="1" xr3:uid="{00000000-0010-0000-8000-000001000000}" name="Column1"/>
    <tableColumn id="2" xr3:uid="{00000000-0010-0000-8000-000002000000}" name="Column2"/>
  </tableColumns>
  <tableStyleInfo name="TG4 Current Shift -style 14" showFirstColumn="1" showLastColumn="1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0" xr:uid="{00000000-000C-0000-FFFF-FFFF81000000}" name="Table_130" displayName="Table_130" ref="K33:L33" headerRowCount="0">
  <tableColumns count="2">
    <tableColumn id="1" xr3:uid="{00000000-0010-0000-8100-000001000000}" name="Column1"/>
    <tableColumn id="2" xr3:uid="{00000000-0010-0000-8100-000002000000}" name="Column2"/>
  </tableColumns>
  <tableStyleInfo name="TG4 Current Shift -style 15" showFirstColumn="1" showLastColumn="1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1" xr:uid="{00000000-000C-0000-FFFF-FFFF82000000}" name="Table_131" displayName="Table_131" ref="N33:Q35" headerRowCount="0">
  <tableColumns count="4">
    <tableColumn id="1" xr3:uid="{00000000-0010-0000-8200-000001000000}" name="Column1"/>
    <tableColumn id="2" xr3:uid="{00000000-0010-0000-8200-000002000000}" name="Column2"/>
    <tableColumn id="3" xr3:uid="{00000000-0010-0000-8200-000003000000}" name="Column3"/>
    <tableColumn id="4" xr3:uid="{00000000-0010-0000-8200-000004000000}" name="Column4"/>
  </tableColumns>
  <tableStyleInfo name="TG4 Current Shift -style 16" showFirstColumn="1" showLastColumn="1" showRowStripes="1" showColumnStripes="0"/>
</table>
</file>

<file path=xl/tables/table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2" xr:uid="{00000000-000C-0000-FFFF-FFFF83000000}" name="Table_132" displayName="Table_132" ref="S33:T33" headerRowCount="0">
  <tableColumns count="2">
    <tableColumn id="1" xr3:uid="{00000000-0010-0000-8300-000001000000}" name="Column1"/>
    <tableColumn id="2" xr3:uid="{00000000-0010-0000-8300-000002000000}" name="Column2"/>
  </tableColumns>
  <tableStyleInfo name="TG4 Current Shift -style 17" showFirstColumn="1" showLastColumn="1" showRowStripes="1" showColumnStripes="0"/>
</table>
</file>

<file path=xl/tables/table1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3" xr:uid="{00000000-000C-0000-FFFF-FFFF84000000}" name="Table_133" displayName="Table_133" ref="U33:V33" headerRowCount="0">
  <tableColumns count="2">
    <tableColumn id="1" xr3:uid="{00000000-0010-0000-8400-000001000000}" name="Column1"/>
    <tableColumn id="2" xr3:uid="{00000000-0010-0000-8400-000002000000}" name="Column2"/>
  </tableColumns>
  <tableStyleInfo name="TG4 Current Shift -style 18" showFirstColumn="1" showLastColumn="1" showRowStripes="1" showColumnStripes="0"/>
</table>
</file>

<file path=xl/tables/table1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4" xr:uid="{00000000-000C-0000-FFFF-FFFF85000000}" name="Table_134" displayName="Table_134" ref="D34" headerRowCount="0">
  <tableColumns count="1">
    <tableColumn id="1" xr3:uid="{00000000-0010-0000-8500-000001000000}" name="Column1"/>
  </tableColumns>
  <tableStyleInfo name="TG4 Current Shift -style 19" showFirstColumn="1" showLastColumn="1" showRowStripes="1" showColumnStripes="0"/>
</table>
</file>

<file path=xl/tables/table2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5" xr:uid="{00000000-000C-0000-FFFF-FFFF86000000}" name="Table_135" displayName="Table_135" ref="E34" headerRowCount="0">
  <tableColumns count="1">
    <tableColumn id="1" xr3:uid="{00000000-0010-0000-8600-000001000000}" name="Column1"/>
  </tableColumns>
  <tableStyleInfo name="TG4 Current Shift -style 20" showFirstColumn="1" showLastColumn="1" showRowStripes="1" showColumnStripes="0"/>
</table>
</file>

<file path=xl/tables/table2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6" xr:uid="{00000000-000C-0000-FFFF-FFFF87000000}" name="Table_136" displayName="Table_136" ref="F34:G35" headerRowCount="0">
  <tableColumns count="2">
    <tableColumn id="1" xr3:uid="{00000000-0010-0000-8700-000001000000}" name="Column1"/>
    <tableColumn id="2" xr3:uid="{00000000-0010-0000-8700-000002000000}" name="Column2"/>
  </tableColumns>
  <tableStyleInfo name="TG4 Current Shift -style 21" showFirstColumn="1" showLastColumn="1" showRowStripes="1" showColumnStripes="0"/>
</table>
</file>

<file path=xl/tables/table2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7" xr:uid="{00000000-000C-0000-FFFF-FFFF88000000}" name="Table_137" displayName="Table_137" ref="I34:L34" headerRowCount="0">
  <tableColumns count="4">
    <tableColumn id="1" xr3:uid="{00000000-0010-0000-8800-000001000000}" name="Column1"/>
    <tableColumn id="2" xr3:uid="{00000000-0010-0000-8800-000002000000}" name="Column2"/>
    <tableColumn id="3" xr3:uid="{00000000-0010-0000-8800-000003000000}" name="Column3"/>
    <tableColumn id="4" xr3:uid="{00000000-0010-0000-8800-000004000000}" name="Column4"/>
  </tableColumns>
  <tableStyleInfo name="TG4 Current Shift -style 22" showFirstColumn="1" showLastColumn="1" showRowStripes="1" showColumnStripes="0"/>
</table>
</file>

<file path=xl/tables/table2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8" xr:uid="{00000000-000C-0000-FFFF-FFFF89000000}" name="Table_138" displayName="Table_138" ref="D35" headerRowCount="0">
  <tableColumns count="1">
    <tableColumn id="1" xr3:uid="{00000000-0010-0000-8900-000001000000}" name="Column1"/>
  </tableColumns>
  <tableStyleInfo name="TG4 Current Shift -style 23" showFirstColumn="1" showLastColumn="1" showRowStripes="1" showColumnStripes="0"/>
</table>
</file>

<file path=xl/tables/table2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9" xr:uid="{00000000-000C-0000-FFFF-FFFF8A000000}" name="Table_139" displayName="Table_139" ref="E35" headerRowCount="0">
  <tableColumns count="1">
    <tableColumn id="1" xr3:uid="{00000000-0010-0000-8A00-000001000000}" name="Column1"/>
  </tableColumns>
  <tableStyleInfo name="TG4 Current Shift -style 24" showFirstColumn="1" showLastColumn="1" showRowStripes="1" showColumnStripes="0"/>
</table>
</file>

<file path=xl/tables/table2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0" xr:uid="{00000000-000C-0000-FFFF-FFFF8B000000}" name="Table_140" displayName="Table_140" ref="I35:L36" headerRowCount="0">
  <tableColumns count="4">
    <tableColumn id="1" xr3:uid="{00000000-0010-0000-8B00-000001000000}" name="Column1"/>
    <tableColumn id="2" xr3:uid="{00000000-0010-0000-8B00-000002000000}" name="Column2"/>
    <tableColumn id="3" xr3:uid="{00000000-0010-0000-8B00-000003000000}" name="Column3"/>
    <tableColumn id="4" xr3:uid="{00000000-0010-0000-8B00-000004000000}" name="Column4"/>
  </tableColumns>
  <tableStyleInfo name="TG4 Current Shift -style 25" showFirstColumn="1" showLastColumn="1" showRowStripes="1" showColumnStripes="0"/>
</table>
</file>

<file path=xl/tables/table2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1" xr:uid="{00000000-000C-0000-FFFF-FFFF8C000000}" name="Table_141" displayName="Table_141" ref="D36:G36" headerRowCount="0">
  <tableColumns count="4">
    <tableColumn id="1" xr3:uid="{00000000-0010-0000-8C00-000001000000}" name="Column1"/>
    <tableColumn id="2" xr3:uid="{00000000-0010-0000-8C00-000002000000}" name="Column2"/>
    <tableColumn id="3" xr3:uid="{00000000-0010-0000-8C00-000003000000}" name="Column3"/>
    <tableColumn id="4" xr3:uid="{00000000-0010-0000-8C00-000004000000}" name="Column4"/>
  </tableColumns>
  <tableStyleInfo name="TG4 Current Shift -style 26" showFirstColumn="1" showLastColumn="1" showRowStripes="1" showColumnStripes="0"/>
</table>
</file>

<file path=xl/tables/table2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2" xr:uid="{00000000-000C-0000-FFFF-FFFF8D000000}" name="Table_142" displayName="Table_142" ref="P36:P39" headerRowCount="0">
  <tableColumns count="1">
    <tableColumn id="1" xr3:uid="{00000000-0010-0000-8D00-000001000000}" name="Column1"/>
  </tableColumns>
  <tableStyleInfo name="TG4 Current Shift -style 27" showFirstColumn="1" showLastColumn="1" showRowStripes="1" showColumnStripes="0"/>
</table>
</file>

<file path=xl/tables/table2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3" xr:uid="{00000000-000C-0000-FFFF-FFFF8E000000}" name="Table_143" displayName="Table_143" ref="Q36:Q39" headerRowCount="0">
  <tableColumns count="1">
    <tableColumn id="1" xr3:uid="{00000000-0010-0000-8E00-000001000000}" name="Column1"/>
  </tableColumns>
  <tableStyleInfo name="TG4 Current Shift -style 28" showFirstColumn="1" showLastColumn="1" showRowStripes="1" showColumnStripes="0"/>
</table>
</file>

<file path=xl/tables/table2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4" xr:uid="{00000000-000C-0000-FFFF-FFFF8F000000}" name="Table_144" displayName="Table_144" ref="D37:G37" headerRowCount="0">
  <tableColumns count="4">
    <tableColumn id="1" xr3:uid="{00000000-0010-0000-8F00-000001000000}" name="Column1"/>
    <tableColumn id="2" xr3:uid="{00000000-0010-0000-8F00-000002000000}" name="Column2"/>
    <tableColumn id="3" xr3:uid="{00000000-0010-0000-8F00-000003000000}" name="Column3"/>
    <tableColumn id="4" xr3:uid="{00000000-0010-0000-8F00-000004000000}" name="Column4"/>
  </tableColumns>
  <tableStyleInfo name="TG4 Current Shift -style 29" showFirstColumn="1" showLastColumn="1" showRowStripes="1" showColumnStripes="0"/>
</table>
</file>

<file path=xl/tables/table3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5" xr:uid="{00000000-000C-0000-FFFF-FFFF90000000}" name="Table_145" displayName="Table_145" ref="I37:K37" headerRowCount="0">
  <tableColumns count="3">
    <tableColumn id="1" xr3:uid="{00000000-0010-0000-9000-000001000000}" name="Column1"/>
    <tableColumn id="2" xr3:uid="{00000000-0010-0000-9000-000002000000}" name="Column2"/>
    <tableColumn id="3" xr3:uid="{00000000-0010-0000-9000-000003000000}" name="Column3"/>
  </tableColumns>
  <tableStyleInfo name="TG4 Current Shift -style 30" showFirstColumn="1" showLastColumn="1" showRowStripes="1" showColumnStripes="0"/>
</table>
</file>

<file path=xl/tables/table3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6" xr:uid="{00000000-000C-0000-FFFF-FFFF91000000}" name="Table_146" displayName="Table_146" ref="L37:L38" headerRowCount="0">
  <tableColumns count="1">
    <tableColumn id="1" xr3:uid="{00000000-0010-0000-9100-000001000000}" name="Column1"/>
  </tableColumns>
  <tableStyleInfo name="TG4 Current Shift -style 31" showFirstColumn="1" showLastColumn="1" showRowStripes="1" showColumnStripes="0"/>
</table>
</file>

<file path=xl/tables/table3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7" xr:uid="{00000000-000C-0000-FFFF-FFFF92000000}" name="Table_147" displayName="Table_147" ref="N37:O37" headerRowCount="0">
  <tableColumns count="2">
    <tableColumn id="1" xr3:uid="{00000000-0010-0000-9200-000001000000}" name="Column1"/>
    <tableColumn id="2" xr3:uid="{00000000-0010-0000-9200-000002000000}" name="Column2"/>
  </tableColumns>
  <tableStyleInfo name="TG4 Current Shift -style 32" showFirstColumn="1" showLastColumn="1" showRowStripes="1" showColumnStripes="0"/>
</table>
</file>

<file path=xl/tables/table3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8" xr:uid="{00000000-000C-0000-FFFF-FFFF93000000}" name="Table_148" displayName="Table_148" ref="S37:V37" headerRowCount="0">
  <tableColumns count="4">
    <tableColumn id="1" xr3:uid="{00000000-0010-0000-9300-000001000000}" name="Column1"/>
    <tableColumn id="2" xr3:uid="{00000000-0010-0000-9300-000002000000}" name="Column2"/>
    <tableColumn id="3" xr3:uid="{00000000-0010-0000-9300-000003000000}" name="Column3"/>
    <tableColumn id="4" xr3:uid="{00000000-0010-0000-9300-000004000000}" name="Column4"/>
  </tableColumns>
  <tableStyleInfo name="TG4 Current Shift -style 33" showFirstColumn="1" showLastColumn="1" showRowStripes="1" showColumnStripes="0"/>
</table>
</file>

<file path=xl/tables/table3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9" xr:uid="{00000000-000C-0000-FFFF-FFFF94000000}" name="Table_149" displayName="Table_149" ref="D38:G38" headerRowCount="0">
  <tableColumns count="4">
    <tableColumn id="1" xr3:uid="{00000000-0010-0000-9400-000001000000}" name="Column1"/>
    <tableColumn id="2" xr3:uid="{00000000-0010-0000-9400-000002000000}" name="Column2"/>
    <tableColumn id="3" xr3:uid="{00000000-0010-0000-9400-000003000000}" name="Column3"/>
    <tableColumn id="4" xr3:uid="{00000000-0010-0000-9400-000004000000}" name="Column4"/>
  </tableColumns>
  <tableStyleInfo name="TG4 Current Shift -style 34" showFirstColumn="1" showLastColumn="1" showRowStripes="1" showColumnStripes="0"/>
</table>
</file>

<file path=xl/tables/table3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0" xr:uid="{00000000-000C-0000-FFFF-FFFF95000000}" name="Table_150" displayName="Table_150" ref="I38:J38" headerRowCount="0">
  <tableColumns count="2">
    <tableColumn id="1" xr3:uid="{00000000-0010-0000-9500-000001000000}" name="Column1"/>
    <tableColumn id="2" xr3:uid="{00000000-0010-0000-9500-000002000000}" name="Column2"/>
  </tableColumns>
  <tableStyleInfo name="TG4 Current Shift -style 35" showFirstColumn="1" showLastColumn="1" showRowStripes="1" showColumnStripes="0"/>
</table>
</file>

<file path=xl/tables/table3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1" xr:uid="{00000000-000C-0000-FFFF-FFFF96000000}" name="Table_151" displayName="Table_151" ref="N38:O39" headerRowCount="0">
  <tableColumns count="2">
    <tableColumn id="1" xr3:uid="{00000000-0010-0000-9600-000001000000}" name="Column1"/>
    <tableColumn id="2" xr3:uid="{00000000-0010-0000-9600-000002000000}" name="Column2"/>
  </tableColumns>
  <tableStyleInfo name="TG4 Current Shift -style 36" showFirstColumn="1" showLastColumn="1" showRowStripes="1" showColumnStripes="0"/>
</table>
</file>

<file path=xl/tables/table3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2" xr:uid="{00000000-000C-0000-FFFF-FFFF97000000}" name="Table_152" displayName="Table_152" ref="D39:G39" headerRowCount="0">
  <tableColumns count="4">
    <tableColumn id="1" xr3:uid="{00000000-0010-0000-9700-000001000000}" name="Column1"/>
    <tableColumn id="2" xr3:uid="{00000000-0010-0000-9700-000002000000}" name="Column2"/>
    <tableColumn id="3" xr3:uid="{00000000-0010-0000-9700-000003000000}" name="Column3"/>
    <tableColumn id="4" xr3:uid="{00000000-0010-0000-9700-000004000000}" name="Column4"/>
  </tableColumns>
  <tableStyleInfo name="TG4 Current Shift -style 37" showFirstColumn="1" showLastColumn="1" showRowStripes="1" showColumnStripes="0"/>
</table>
</file>

<file path=xl/tables/table3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3" xr:uid="{00000000-000C-0000-FFFF-FFFF98000000}" name="Table_153" displayName="Table_153" ref="I39:J39" headerRowCount="0">
  <tableColumns count="2">
    <tableColumn id="1" xr3:uid="{00000000-0010-0000-9800-000001000000}" name="Column1"/>
    <tableColumn id="2" xr3:uid="{00000000-0010-0000-9800-000002000000}" name="Column2"/>
  </tableColumns>
  <tableStyleInfo name="TG4 Current Shift -style 38" showFirstColumn="1" showLastColumn="1" showRowStripes="1" showColumnStripes="0"/>
</table>
</file>

<file path=xl/tables/table3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4" xr:uid="{00000000-000C-0000-FFFF-FFFF99000000}" name="Table_154" displayName="Table_154" ref="K39:L40" headerRowCount="0">
  <tableColumns count="2">
    <tableColumn id="1" xr3:uid="{00000000-0010-0000-9900-000001000000}" name="Column1"/>
    <tableColumn id="2" xr3:uid="{00000000-0010-0000-9900-000002000000}" name="Column2"/>
  </tableColumns>
  <tableStyleInfo name="TG4 Current Shift -style 39" showFirstColumn="1" showLastColumn="1" showRowStripes="1" showColumnStripes="0"/>
</table>
</file>

<file path=xl/tables/table4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5" xr:uid="{00000000-000C-0000-FFFF-FFFF9A000000}" name="Table_155" displayName="Table_155" ref="D40:G40" headerRowCount="0">
  <tableColumns count="4">
    <tableColumn id="1" xr3:uid="{00000000-0010-0000-9A00-000001000000}" name="Column1"/>
    <tableColumn id="2" xr3:uid="{00000000-0010-0000-9A00-000002000000}" name="Column2"/>
    <tableColumn id="3" xr3:uid="{00000000-0010-0000-9A00-000003000000}" name="Column3"/>
    <tableColumn id="4" xr3:uid="{00000000-0010-0000-9A00-000004000000}" name="Column4"/>
  </tableColumns>
  <tableStyleInfo name="TG4 Current Shift -style 40" showFirstColumn="1" showLastColumn="1" showRowStripes="1" showColumnStripes="0"/>
</table>
</file>

<file path=xl/tables/table4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6" xr:uid="{00000000-000C-0000-FFFF-FFFF9B000000}" name="Table_156" displayName="Table_156" ref="I40:J40" headerRowCount="0">
  <tableColumns count="2">
    <tableColumn id="1" xr3:uid="{00000000-0010-0000-9B00-000001000000}" name="Column1"/>
    <tableColumn id="2" xr3:uid="{00000000-0010-0000-9B00-000002000000}" name="Column2"/>
  </tableColumns>
  <tableStyleInfo name="TG4 Current Shift -style 41" showFirstColumn="1" showLastColumn="1" showRowStripes="1" showColumnStripes="0"/>
</table>
</file>

<file path=xl/tables/table4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7" xr:uid="{00000000-000C-0000-FFFF-FFFF9C000000}" name="Table_157" displayName="Table_157" ref="N40:Q40" headerRowCount="0">
  <tableColumns count="4">
    <tableColumn id="1" xr3:uid="{00000000-0010-0000-9C00-000001000000}" name="Column1"/>
    <tableColumn id="2" xr3:uid="{00000000-0010-0000-9C00-000002000000}" name="Column2"/>
    <tableColumn id="3" xr3:uid="{00000000-0010-0000-9C00-000003000000}" name="Column3"/>
    <tableColumn id="4" xr3:uid="{00000000-0010-0000-9C00-000004000000}" name="Column4"/>
  </tableColumns>
  <tableStyleInfo name="TG4 Current Shift -style 42" showFirstColumn="1" showLastColumn="1" showRowStripes="1" showColumnStripes="0"/>
</table>
</file>

<file path=xl/tables/table4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8" xr:uid="{00000000-000C-0000-FFFF-FFFF9D000000}" name="Table_158" displayName="Table_158" ref="S40:V40" headerRowCount="0">
  <tableColumns count="4">
    <tableColumn id="1" xr3:uid="{00000000-0010-0000-9D00-000001000000}" name="Column1"/>
    <tableColumn id="2" xr3:uid="{00000000-0010-0000-9D00-000002000000}" name="Column2"/>
    <tableColumn id="3" xr3:uid="{00000000-0010-0000-9D00-000003000000}" name="Column3"/>
    <tableColumn id="4" xr3:uid="{00000000-0010-0000-9D00-000004000000}" name="Column4"/>
  </tableColumns>
  <tableStyleInfo name="TG4 Current Shift -style 43" showFirstColumn="1" showLastColumn="1" showRowStripes="1" showColumnStripes="0"/>
</table>
</file>

<file path=xl/tables/table4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9" xr:uid="{00000000-000C-0000-FFFF-FFFF9E000000}" name="Table_159" displayName="Table_159" ref="D41:E41" headerRowCount="0">
  <tableColumns count="2">
    <tableColumn id="1" xr3:uid="{00000000-0010-0000-9E00-000001000000}" name="Column1"/>
    <tableColumn id="2" xr3:uid="{00000000-0010-0000-9E00-000002000000}" name="Column2"/>
  </tableColumns>
  <tableStyleInfo name="TG4 Current Shift -style 44" showFirstColumn="1" showLastColumn="1" showRowStripes="1" showColumnStripes="0"/>
</table>
</file>

<file path=xl/tables/table4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0" xr:uid="{00000000-000C-0000-FFFF-FFFF9F000000}" name="Table_160" displayName="Table_160" ref="F41:G41" headerRowCount="0">
  <tableColumns count="2">
    <tableColumn id="1" xr3:uid="{00000000-0010-0000-9F00-000001000000}" name="Column1"/>
    <tableColumn id="2" xr3:uid="{00000000-0010-0000-9F00-000002000000}" name="Column2"/>
  </tableColumns>
  <tableStyleInfo name="TG4 Current Shift -style 45" showFirstColumn="1" showLastColumn="1" showRowStripes="1" showColumnStripes="0"/>
</table>
</file>

<file path=xl/tables/table4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1" xr:uid="{00000000-000C-0000-FFFF-FFFFA0000000}" name="Table_161" displayName="Table_161" ref="I41:J41" headerRowCount="0">
  <tableColumns count="2">
    <tableColumn id="1" xr3:uid="{00000000-0010-0000-A000-000001000000}" name="Column1"/>
    <tableColumn id="2" xr3:uid="{00000000-0010-0000-A000-000002000000}" name="Column2"/>
  </tableColumns>
  <tableStyleInfo name="TG4 Current Shift -style 46" showFirstColumn="1" showLastColumn="1" showRowStripes="1" showColumnStripes="0"/>
</table>
</file>

<file path=xl/tables/table4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2" xr:uid="{00000000-000C-0000-FFFF-FFFFA1000000}" name="Table_162" displayName="Table_162" ref="K41:L41" headerRowCount="0">
  <tableColumns count="2">
    <tableColumn id="1" xr3:uid="{00000000-0010-0000-A100-000001000000}" name="Column1"/>
    <tableColumn id="2" xr3:uid="{00000000-0010-0000-A100-000002000000}" name="Column2"/>
  </tableColumns>
  <tableStyleInfo name="TG4 Current Shift -style 47" showFirstColumn="1" showLastColumn="1" showRowStripes="1" showColumnStripes="0"/>
</table>
</file>

<file path=xl/tables/table4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3" xr:uid="{00000000-000C-0000-FFFF-FFFFA2000000}" name="Table_163" displayName="Table_163" ref="N41:Q41" headerRowCount="0">
  <tableColumns count="4">
    <tableColumn id="1" xr3:uid="{00000000-0010-0000-A200-000001000000}" name="Column1"/>
    <tableColumn id="2" xr3:uid="{00000000-0010-0000-A200-000002000000}" name="Column2"/>
    <tableColumn id="3" xr3:uid="{00000000-0010-0000-A200-000003000000}" name="Column3"/>
    <tableColumn id="4" xr3:uid="{00000000-0010-0000-A200-000004000000}" name="Column4"/>
  </tableColumns>
  <tableStyleInfo name="TG4 Current Shift -style 48" showFirstColumn="1" showLastColumn="1" showRowStripes="1" showColumnStripes="0"/>
</table>
</file>

<file path=xl/tables/table4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4" xr:uid="{00000000-000C-0000-FFFF-FFFFA3000000}" name="Table_164" displayName="Table_164" ref="D42:G42" headerRowCount="0">
  <tableColumns count="4">
    <tableColumn id="1" xr3:uid="{00000000-0010-0000-A300-000001000000}" name="Column1"/>
    <tableColumn id="2" xr3:uid="{00000000-0010-0000-A300-000002000000}" name="Column2"/>
    <tableColumn id="3" xr3:uid="{00000000-0010-0000-A300-000003000000}" name="Column3"/>
    <tableColumn id="4" xr3:uid="{00000000-0010-0000-A300-000004000000}" name="Column4"/>
  </tableColumns>
  <tableStyleInfo name="TG4 Current Shift -style 49" showFirstColumn="1" showLastColumn="1" showRowStripes="1" showColumnStripes="0"/>
</table>
</file>

<file path=xl/tables/table5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5" xr:uid="{00000000-000C-0000-FFFF-FFFFA4000000}" name="Table_165" displayName="Table_165" ref="I42:J42" headerRowCount="0">
  <tableColumns count="2">
    <tableColumn id="1" xr3:uid="{00000000-0010-0000-A400-000001000000}" name="Column1"/>
    <tableColumn id="2" xr3:uid="{00000000-0010-0000-A400-000002000000}" name="Column2"/>
  </tableColumns>
  <tableStyleInfo name="TG4 Current Shift -style 50" showFirstColumn="1" showLastColumn="1" showRowStripes="1" showColumnStripes="0"/>
</table>
</file>

<file path=xl/tables/table5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6" xr:uid="{00000000-000C-0000-FFFF-FFFFA5000000}" name="Table_166" displayName="Table_166" ref="K42:L42" headerRowCount="0">
  <tableColumns count="2">
    <tableColumn id="1" xr3:uid="{00000000-0010-0000-A500-000001000000}" name="Column1"/>
    <tableColumn id="2" xr3:uid="{00000000-0010-0000-A500-000002000000}" name="Column2"/>
  </tableColumns>
  <tableStyleInfo name="TG4 Current Shift -style 51" showFirstColumn="1" showLastColumn="1" showRowStripes="1" showColumnStripes="0"/>
</table>
</file>

<file path=xl/tables/table5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7" xr:uid="{00000000-000C-0000-FFFF-FFFFA6000000}" name="Table_167" displayName="Table_167" ref="P42:Q42" headerRowCount="0">
  <tableColumns count="2">
    <tableColumn id="1" xr3:uid="{00000000-0010-0000-A600-000001000000}" name="Column1"/>
    <tableColumn id="2" xr3:uid="{00000000-0010-0000-A600-000002000000}" name="Column2"/>
  </tableColumns>
  <tableStyleInfo name="TG4 Current Shift -style 52" showFirstColumn="1" showLastColumn="1" showRowStripes="1" showColumnStripes="0"/>
</table>
</file>

<file path=xl/tables/table5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8" xr:uid="{00000000-000C-0000-FFFF-FFFFA7000000}" name="Table_168" displayName="Table_168" ref="D43:F43" headerRowCount="0">
  <tableColumns count="3">
    <tableColumn id="1" xr3:uid="{00000000-0010-0000-A700-000001000000}" name="Column1"/>
    <tableColumn id="2" xr3:uid="{00000000-0010-0000-A700-000002000000}" name="Column2"/>
    <tableColumn id="3" xr3:uid="{00000000-0010-0000-A700-000003000000}" name="Column3"/>
  </tableColumns>
  <tableStyleInfo name="TG4 Current Shift -style 53" showFirstColumn="1" showLastColumn="1" showRowStripes="1" showColumnStripes="0"/>
</table>
</file>

<file path=xl/tables/table5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9" xr:uid="{00000000-000C-0000-FFFF-FFFFA8000000}" name="Table_169" displayName="Table_169" ref="G43" headerRowCount="0">
  <tableColumns count="1">
    <tableColumn id="1" xr3:uid="{00000000-0010-0000-A800-000001000000}" name="Column1"/>
  </tableColumns>
  <tableStyleInfo name="TG4 Current Shift -style 54" showFirstColumn="1" showLastColumn="1" showRowStripes="1" showColumnStripes="0"/>
</table>
</file>

<file path=xl/tables/table5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0" xr:uid="{00000000-000C-0000-FFFF-FFFFA9000000}" name="Table_170" displayName="Table_170" ref="I43:L43" headerRowCount="0">
  <tableColumns count="4">
    <tableColumn id="1" xr3:uid="{00000000-0010-0000-A900-000001000000}" name="Column1"/>
    <tableColumn id="2" xr3:uid="{00000000-0010-0000-A900-000002000000}" name="Column2"/>
    <tableColumn id="3" xr3:uid="{00000000-0010-0000-A900-000003000000}" name="Column3"/>
    <tableColumn id="4" xr3:uid="{00000000-0010-0000-A900-000004000000}" name="Column4"/>
  </tableColumns>
  <tableStyleInfo name="TG4 Current Shift -style 55" showFirstColumn="1" showLastColumn="1" showRowStripes="1" showColumnStripes="0"/>
</table>
</file>

<file path=xl/tables/table5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1" xr:uid="{00000000-000C-0000-FFFF-FFFFAA000000}" name="Table_171" displayName="Table_171" ref="N43:Q44" headerRowCount="0">
  <tableColumns count="4">
    <tableColumn id="1" xr3:uid="{00000000-0010-0000-AA00-000001000000}" name="Column1"/>
    <tableColumn id="2" xr3:uid="{00000000-0010-0000-AA00-000002000000}" name="Column2"/>
    <tableColumn id="3" xr3:uid="{00000000-0010-0000-AA00-000003000000}" name="Column3"/>
    <tableColumn id="4" xr3:uid="{00000000-0010-0000-AA00-000004000000}" name="Column4"/>
  </tableColumns>
  <tableStyleInfo name="TG4 Current Shift -style 56" showFirstColumn="1" showLastColumn="1" showRowStripes="1" showColumnStripes="0"/>
</table>
</file>

<file path=xl/tables/table5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2" xr:uid="{00000000-000C-0000-FFFF-FFFFAB000000}" name="Table_172" displayName="Table_172" ref="D44:F44" headerRowCount="0">
  <tableColumns count="3">
    <tableColumn id="1" xr3:uid="{00000000-0010-0000-AB00-000001000000}" name="Column1"/>
    <tableColumn id="2" xr3:uid="{00000000-0010-0000-AB00-000002000000}" name="Column2"/>
    <tableColumn id="3" xr3:uid="{00000000-0010-0000-AB00-000003000000}" name="Column3"/>
  </tableColumns>
  <tableStyleInfo name="TG4 Current Shift -style 57" showFirstColumn="1" showLastColumn="1" showRowStripes="1" showColumnStripes="0"/>
</table>
</file>

<file path=xl/tables/table5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3" xr:uid="{00000000-000C-0000-FFFF-FFFFAC000000}" name="Table_173" displayName="Table_173" ref="G44" headerRowCount="0">
  <tableColumns count="1">
    <tableColumn id="1" xr3:uid="{00000000-0010-0000-AC00-000001000000}" name="Column1"/>
  </tableColumns>
  <tableStyleInfo name="TG4 Current Shift -style 58" showFirstColumn="1" showLastColumn="1" showRowStripes="1" showColumnStripes="0"/>
</table>
</file>

<file path=xl/tables/table5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4" xr:uid="{00000000-000C-0000-FFFF-FFFFAD000000}" name="Table_174" displayName="Table_174" ref="I44:L45" headerRowCount="0">
  <tableColumns count="4">
    <tableColumn id="1" xr3:uid="{00000000-0010-0000-AD00-000001000000}" name="Column1"/>
    <tableColumn id="2" xr3:uid="{00000000-0010-0000-AD00-000002000000}" name="Column2"/>
    <tableColumn id="3" xr3:uid="{00000000-0010-0000-AD00-000003000000}" name="Column3"/>
    <tableColumn id="4" xr3:uid="{00000000-0010-0000-AD00-000004000000}" name="Column4"/>
  </tableColumns>
  <tableStyleInfo name="TG4 Current Shift -style 59" showFirstColumn="1" showLastColumn="1" showRowStripes="1" showColumnStripes="0"/>
</table>
</file>

<file path=xl/tables/table6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5" xr:uid="{00000000-000C-0000-FFFF-FFFFAE000000}" name="Table_175" displayName="Table_175" ref="D45:G45" headerRowCount="0">
  <tableColumns count="4">
    <tableColumn id="1" xr3:uid="{00000000-0010-0000-AE00-000001000000}" name="Column1"/>
    <tableColumn id="2" xr3:uid="{00000000-0010-0000-AE00-000002000000}" name="Column2"/>
    <tableColumn id="3" xr3:uid="{00000000-0010-0000-AE00-000003000000}" name="Column3"/>
    <tableColumn id="4" xr3:uid="{00000000-0010-0000-AE00-000004000000}" name="Column4"/>
  </tableColumns>
  <tableStyleInfo name="TG4 Current Shift -style 60" showFirstColumn="1" showLastColumn="1" showRowStripes="1" showColumnStripes="0"/>
</table>
</file>

<file path=xl/tables/table6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6" xr:uid="{00000000-000C-0000-FFFF-FFFFAF000000}" name="Table_176" displayName="Table_176" ref="P45" headerRowCount="0">
  <tableColumns count="1">
    <tableColumn id="1" xr3:uid="{00000000-0010-0000-AF00-000001000000}" name="Column1"/>
  </tableColumns>
  <tableStyleInfo name="TG4 Current Shift -style 61" showFirstColumn="1" showLastColumn="1" showRowStripes="1" showColumnStripes="0"/>
</table>
</file>

<file path=xl/tables/table6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7" xr:uid="{00000000-000C-0000-FFFF-FFFFB0000000}" name="Table_177" displayName="Table_177" ref="Q45" headerRowCount="0">
  <tableColumns count="1">
    <tableColumn id="1" xr3:uid="{00000000-0010-0000-B000-000001000000}" name="Column1"/>
  </tableColumns>
  <tableStyleInfo name="TG4 Current Shift -style 62" showFirstColumn="1" showLastColumn="1" showRowStripes="1" showColumnStripes="0"/>
</table>
</file>

<file path=xl/tables/table6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8" xr:uid="{00000000-000C-0000-FFFF-FFFFB1000000}" name="Table_178" displayName="Table_178" ref="D46:G46" headerRowCount="0">
  <tableColumns count="4">
    <tableColumn id="1" xr3:uid="{00000000-0010-0000-B100-000001000000}" name="Column1"/>
    <tableColumn id="2" xr3:uid="{00000000-0010-0000-B100-000002000000}" name="Column2"/>
    <tableColumn id="3" xr3:uid="{00000000-0010-0000-B100-000003000000}" name="Column3"/>
    <tableColumn id="4" xr3:uid="{00000000-0010-0000-B100-000004000000}" name="Column4"/>
  </tableColumns>
  <tableStyleInfo name="TG4 Current Shift -style 63" showFirstColumn="1" showLastColumn="1" showRowStripes="1" showColumnStripes="0"/>
</table>
</file>

<file path=xl/tables/table6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9" xr:uid="{00000000-000C-0000-FFFF-FFFFB2000000}" name="Table_179" displayName="Table_179" ref="K46:L46" headerRowCount="0">
  <tableColumns count="2">
    <tableColumn id="1" xr3:uid="{00000000-0010-0000-B200-000001000000}" name="Column1"/>
    <tableColumn id="2" xr3:uid="{00000000-0010-0000-B200-000002000000}" name="Column2"/>
  </tableColumns>
  <tableStyleInfo name="TG4 Current Shift -style 64" showFirstColumn="1" showLastColumn="1" showRowStripes="1" showColumnStripes="0"/>
</table>
</file>

<file path=xl/tables/table6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0" xr:uid="{00000000-000C-0000-FFFF-FFFFB3000000}" name="Table_180" displayName="Table_180" ref="F47:G47" headerRowCount="0">
  <tableColumns count="2">
    <tableColumn id="1" xr3:uid="{00000000-0010-0000-B300-000001000000}" name="Column1"/>
    <tableColumn id="2" xr3:uid="{00000000-0010-0000-B300-000002000000}" name="Column2"/>
  </tableColumns>
  <tableStyleInfo name="TG4 Current Shift -style 65" showFirstColumn="1" showLastColumn="1" showRowStripes="1" showColumnStripes="0"/>
</table>
</file>

<file path=xl/tables/table6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1" xr:uid="{00000000-000C-0000-FFFF-FFFFB4000000}" name="Table_181" displayName="Table_181" ref="I47:L48" headerRowCount="0">
  <tableColumns count="4">
    <tableColumn id="1" xr3:uid="{00000000-0010-0000-B400-000001000000}" name="Column1"/>
    <tableColumn id="2" xr3:uid="{00000000-0010-0000-B400-000002000000}" name="Column2"/>
    <tableColumn id="3" xr3:uid="{00000000-0010-0000-B400-000003000000}" name="Column3"/>
    <tableColumn id="4" xr3:uid="{00000000-0010-0000-B400-000004000000}" name="Column4"/>
  </tableColumns>
  <tableStyleInfo name="TG4 Current Shift -style 66" showFirstColumn="1" showLastColumn="1" showRowStripes="1" showColumnStripes="0"/>
</table>
</file>

<file path=xl/tables/table6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2" xr:uid="{00000000-000C-0000-FFFF-FFFFB5000000}" name="Table_182" displayName="Table_182" ref="D48:G48" headerRowCount="0">
  <tableColumns count="4">
    <tableColumn id="1" xr3:uid="{00000000-0010-0000-B500-000001000000}" name="Column1"/>
    <tableColumn id="2" xr3:uid="{00000000-0010-0000-B500-000002000000}" name="Column2"/>
    <tableColumn id="3" xr3:uid="{00000000-0010-0000-B500-000003000000}" name="Column3"/>
    <tableColumn id="4" xr3:uid="{00000000-0010-0000-B500-000004000000}" name="Column4"/>
  </tableColumns>
  <tableStyleInfo name="TG4 Current Shift -style 67" showFirstColumn="1" showLastColumn="1" showRowStripes="1" showColumnStripes="0"/>
</table>
</file>

<file path=xl/tables/table6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3" xr:uid="{00000000-000C-0000-FFFF-FFFFB6000000}" name="Table_183" displayName="Table_183" ref="F49:G49" headerRowCount="0">
  <tableColumns count="2">
    <tableColumn id="1" xr3:uid="{00000000-0010-0000-B600-000001000000}" name="Column1"/>
    <tableColumn id="2" xr3:uid="{00000000-0010-0000-B600-000002000000}" name="Column2"/>
  </tableColumns>
  <tableStyleInfo name="TG4 Current Shift -style 68" showFirstColumn="1" showLastColumn="1" showRowStripes="1" showColumnStripes="0"/>
</table>
</file>

<file path=xl/tables/table6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4" xr:uid="{00000000-000C-0000-FFFF-FFFFB7000000}" name="Table_184" displayName="Table_184" ref="I49:J49" headerRowCount="0">
  <tableColumns count="2">
    <tableColumn id="1" xr3:uid="{00000000-0010-0000-B700-000001000000}" name="Column1"/>
    <tableColumn id="2" xr3:uid="{00000000-0010-0000-B700-000002000000}" name="Column2"/>
  </tableColumns>
  <tableStyleInfo name="TG4 Current Shift -style 69" showFirstColumn="1" showLastColumn="1" showRowStripes="1" showColumnStripes="0"/>
</table>
</file>

<file path=xl/tables/table7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5" xr:uid="{00000000-000C-0000-FFFF-FFFFB8000000}" name="Table_185" displayName="Table_185" ref="K49:L49" headerRowCount="0">
  <tableColumns count="2">
    <tableColumn id="1" xr3:uid="{00000000-0010-0000-B800-000001000000}" name="Column1"/>
    <tableColumn id="2" xr3:uid="{00000000-0010-0000-B800-000002000000}" name="Column2"/>
  </tableColumns>
  <tableStyleInfo name="TG4 Current Shift -style 70" showFirstColumn="1" showLastColumn="1" showRowStripes="1" showColumnStripes="0"/>
</table>
</file>

<file path=xl/tables/table7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6" xr:uid="{00000000-000C-0000-FFFF-FFFFB9000000}" name="Table_186" displayName="Table_186" ref="N49:Q49" headerRowCount="0">
  <tableColumns count="4">
    <tableColumn id="1" xr3:uid="{00000000-0010-0000-B900-000001000000}" name="Column1"/>
    <tableColumn id="2" xr3:uid="{00000000-0010-0000-B900-000002000000}" name="Column2"/>
    <tableColumn id="3" xr3:uid="{00000000-0010-0000-B900-000003000000}" name="Column3"/>
    <tableColumn id="4" xr3:uid="{00000000-0010-0000-B900-000004000000}" name="Column4"/>
  </tableColumns>
  <tableStyleInfo name="TG4 Current Shift -style 71" showFirstColumn="1" showLastColumn="1" showRowStripes="1" showColumnStripes="0"/>
</table>
</file>

<file path=xl/tables/table7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7" xr:uid="{00000000-000C-0000-FFFF-FFFFBA000000}" name="Table_187" displayName="Table_187" ref="S49:V50" headerRowCount="0">
  <tableColumns count="4">
    <tableColumn id="1" xr3:uid="{00000000-0010-0000-BA00-000001000000}" name="Column1"/>
    <tableColumn id="2" xr3:uid="{00000000-0010-0000-BA00-000002000000}" name="Column2"/>
    <tableColumn id="3" xr3:uid="{00000000-0010-0000-BA00-000003000000}" name="Column3"/>
    <tableColumn id="4" xr3:uid="{00000000-0010-0000-BA00-000004000000}" name="Column4"/>
  </tableColumns>
  <tableStyleInfo name="TG4 Current Shift -style 72" showFirstColumn="1" showLastColumn="1" showRowStripes="1" showColumnStripes="0"/>
</table>
</file>

<file path=xl/tables/table7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8" xr:uid="{00000000-000C-0000-FFFF-FFFFBB000000}" name="Table_188" displayName="Table_188" ref="D50:G50" headerRowCount="0">
  <tableColumns count="4">
    <tableColumn id="1" xr3:uid="{00000000-0010-0000-BB00-000001000000}" name="Column1"/>
    <tableColumn id="2" xr3:uid="{00000000-0010-0000-BB00-000002000000}" name="Column2"/>
    <tableColumn id="3" xr3:uid="{00000000-0010-0000-BB00-000003000000}" name="Column3"/>
    <tableColumn id="4" xr3:uid="{00000000-0010-0000-BB00-000004000000}" name="Column4"/>
  </tableColumns>
  <tableStyleInfo name="TG4 Current Shift -style 73" showFirstColumn="1" showLastColumn="1" showRowStripes="1" showColumnStripes="0"/>
</table>
</file>

<file path=xl/tables/table7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9" xr:uid="{00000000-000C-0000-FFFF-FFFFBC000000}" name="Table_189" displayName="Table_189" ref="I50:K50" headerRowCount="0">
  <tableColumns count="3">
    <tableColumn id="1" xr3:uid="{00000000-0010-0000-BC00-000001000000}" name="Column1"/>
    <tableColumn id="2" xr3:uid="{00000000-0010-0000-BC00-000002000000}" name="Column2"/>
    <tableColumn id="3" xr3:uid="{00000000-0010-0000-BC00-000003000000}" name="Column3"/>
  </tableColumns>
  <tableStyleInfo name="TG4 Current Shift -style 74" showFirstColumn="1" showLastColumn="1" showRowStripes="1" showColumnStripes="0"/>
</table>
</file>

<file path=xl/tables/table7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0" xr:uid="{00000000-000C-0000-FFFF-FFFFBD000000}" name="Table_190" displayName="Table_190" ref="L50:L52" headerRowCount="0">
  <tableColumns count="1">
    <tableColumn id="1" xr3:uid="{00000000-0010-0000-BD00-000001000000}" name="Column1"/>
  </tableColumns>
  <tableStyleInfo name="TG4 Current Shift -style 75" showFirstColumn="1" showLastColumn="1" showRowStripes="1" showColumnStripes="0"/>
</table>
</file>

<file path=xl/tables/table7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1" xr:uid="{00000000-000C-0000-FFFF-FFFFBE000000}" name="Table_191" displayName="Table_191" ref="N50:Q50" headerRowCount="0">
  <tableColumns count="4">
    <tableColumn id="1" xr3:uid="{00000000-0010-0000-BE00-000001000000}" name="Column1"/>
    <tableColumn id="2" xr3:uid="{00000000-0010-0000-BE00-000002000000}" name="Column2"/>
    <tableColumn id="3" xr3:uid="{00000000-0010-0000-BE00-000003000000}" name="Column3"/>
    <tableColumn id="4" xr3:uid="{00000000-0010-0000-BE00-000004000000}" name="Column4"/>
  </tableColumns>
  <tableStyleInfo name="TG4 Current Shift -style 76" showFirstColumn="1" showLastColumn="1" showRowStripes="1" showColumnStripes="0"/>
</table>
</file>

<file path=xl/tables/table7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2" xr:uid="{00000000-000C-0000-FFFF-FFFFBF000000}" name="Table_192" displayName="Table_192" ref="D51:G51" headerRowCount="0">
  <tableColumns count="4">
    <tableColumn id="1" xr3:uid="{00000000-0010-0000-BF00-000001000000}" name="Column1"/>
    <tableColumn id="2" xr3:uid="{00000000-0010-0000-BF00-000002000000}" name="Column2"/>
    <tableColumn id="3" xr3:uid="{00000000-0010-0000-BF00-000003000000}" name="Column3"/>
    <tableColumn id="4" xr3:uid="{00000000-0010-0000-BF00-000004000000}" name="Column4"/>
  </tableColumns>
  <tableStyleInfo name="TG4 Current Shift -style 77" showFirstColumn="1" showLastColumn="1" showRowStripes="1" showColumnStripes="0"/>
</table>
</file>

<file path=xl/tables/table7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3" xr:uid="{00000000-000C-0000-FFFF-FFFFC0000000}" name="Table_193" displayName="Table_193" ref="P51:Q54" headerRowCount="0">
  <tableColumns count="2">
    <tableColumn id="1" xr3:uid="{00000000-0010-0000-C000-000001000000}" name="Column1"/>
    <tableColumn id="2" xr3:uid="{00000000-0010-0000-C000-000002000000}" name="Column2"/>
  </tableColumns>
  <tableStyleInfo name="TG4 Current Shift -style 78" showFirstColumn="1" showLastColumn="1" showRowStripes="1" showColumnStripes="0"/>
</table>
</file>

<file path=xl/tables/table7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4" xr:uid="{00000000-000C-0000-FFFF-FFFFC1000000}" name="Table_194" displayName="Table_194" ref="D52:G52" headerRowCount="0">
  <tableColumns count="4">
    <tableColumn id="1" xr3:uid="{00000000-0010-0000-C100-000001000000}" name="Column1"/>
    <tableColumn id="2" xr3:uid="{00000000-0010-0000-C100-000002000000}" name="Column2"/>
    <tableColumn id="3" xr3:uid="{00000000-0010-0000-C100-000003000000}" name="Column3"/>
    <tableColumn id="4" xr3:uid="{00000000-0010-0000-C100-000004000000}" name="Column4"/>
  </tableColumns>
  <tableStyleInfo name="TG4 Current Shift -style 79" showFirstColumn="1" showLastColumn="1" showRowStripes="1" showColumnStripes="0"/>
</table>
</file>

<file path=xl/tables/table8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5" xr:uid="{00000000-000C-0000-FFFF-FFFFC2000000}" name="Table_195" displayName="Table_195" ref="I52:J52" headerRowCount="0">
  <tableColumns count="2">
    <tableColumn id="1" xr3:uid="{00000000-0010-0000-C200-000001000000}" name="Column1"/>
    <tableColumn id="2" xr3:uid="{00000000-0010-0000-C200-000002000000}" name="Column2"/>
  </tableColumns>
  <tableStyleInfo name="TG4 Current Shift -style 80" showFirstColumn="1" showLastColumn="1" showRowStripes="1" showColumnStripes="0"/>
</table>
</file>

<file path=xl/tables/table8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6" xr:uid="{00000000-000C-0000-FFFF-FFFFC3000000}" name="Table_196" displayName="Table_196" ref="N52:O52" headerRowCount="0">
  <tableColumns count="2">
    <tableColumn id="1" xr3:uid="{00000000-0010-0000-C300-000001000000}" name="Column1"/>
    <tableColumn id="2" xr3:uid="{00000000-0010-0000-C300-000002000000}" name="Column2"/>
  </tableColumns>
  <tableStyleInfo name="TG4 Current Shift -style 81" showFirstColumn="1" showLastColumn="1" showRowStripes="1" showColumnStripes="0"/>
</table>
</file>

<file path=xl/tables/table8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7" xr:uid="{00000000-000C-0000-FFFF-FFFFC4000000}" name="Table_197" displayName="Table_197" ref="D53:E53" headerRowCount="0">
  <tableColumns count="2">
    <tableColumn id="1" xr3:uid="{00000000-0010-0000-C400-000001000000}" name="Column1"/>
    <tableColumn id="2" xr3:uid="{00000000-0010-0000-C400-000002000000}" name="Column2"/>
  </tableColumns>
  <tableStyleInfo name="TG4 Current Shift -style 82" showFirstColumn="1" showLastColumn="1" showRowStripes="1" showColumnStripes="0"/>
</table>
</file>

<file path=xl/tables/table8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8" xr:uid="{00000000-000C-0000-FFFF-FFFFC5000000}" name="Table_198" displayName="Table_198" ref="F53:G53" headerRowCount="0">
  <tableColumns count="2">
    <tableColumn id="1" xr3:uid="{00000000-0010-0000-C500-000001000000}" name="Column1"/>
    <tableColumn id="2" xr3:uid="{00000000-0010-0000-C500-000002000000}" name="Column2"/>
  </tableColumns>
  <tableStyleInfo name="TG4 Current Shift -style 83" showFirstColumn="1" showLastColumn="1" showRowStripes="1" showColumnStripes="0"/>
</table>
</file>

<file path=xl/tables/table8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9" xr:uid="{00000000-000C-0000-FFFF-FFFFC6000000}" name="Table_199" displayName="Table_199" ref="I53:L53" headerRowCount="0">
  <tableColumns count="4">
    <tableColumn id="1" xr3:uid="{00000000-0010-0000-C600-000001000000}" name="Column1"/>
    <tableColumn id="2" xr3:uid="{00000000-0010-0000-C600-000002000000}" name="Column2"/>
    <tableColumn id="3" xr3:uid="{00000000-0010-0000-C600-000003000000}" name="Column3"/>
    <tableColumn id="4" xr3:uid="{00000000-0010-0000-C600-000004000000}" name="Column4"/>
  </tableColumns>
  <tableStyleInfo name="TG4 Current Shift -style 84" showFirstColumn="1" showLastColumn="1" showRowStripes="1" showColumnStripes="0"/>
</table>
</file>

<file path=xl/tables/table8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00" xr:uid="{00000000-000C-0000-FFFF-FFFFC7000000}" name="Table_200" displayName="Table_200" ref="N53:O53" headerRowCount="0">
  <tableColumns count="2">
    <tableColumn id="1" xr3:uid="{00000000-0010-0000-C700-000001000000}" name="Column1"/>
    <tableColumn id="2" xr3:uid="{00000000-0010-0000-C700-000002000000}" name="Column2"/>
  </tableColumns>
  <tableStyleInfo name="TG4 Current Shift -style 85" showFirstColumn="1" showLastColumn="1" showRowStripes="1" showColumnStripes="0"/>
</table>
</file>

<file path=xl/tables/table8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01" xr:uid="{00000000-000C-0000-FFFF-FFFFC8000000}" name="Table_201" displayName="Table_201" ref="D54:F54" headerRowCount="0">
  <tableColumns count="3">
    <tableColumn id="1" xr3:uid="{00000000-0010-0000-C800-000001000000}" name="Column1"/>
    <tableColumn id="2" xr3:uid="{00000000-0010-0000-C800-000002000000}" name="Column2"/>
    <tableColumn id="3" xr3:uid="{00000000-0010-0000-C800-000003000000}" name="Column3"/>
  </tableColumns>
  <tableStyleInfo name="TG4 Current Shift -style 86" showFirstColumn="1" showLastColumn="1" showRowStripes="1" showColumnStripes="0"/>
</table>
</file>

<file path=xl/tables/table8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02" xr:uid="{00000000-000C-0000-FFFF-FFFFC9000000}" name="Table_202" displayName="Table_202" ref="G54" headerRowCount="0">
  <tableColumns count="1">
    <tableColumn id="1" xr3:uid="{00000000-0010-0000-C900-000001000000}" name="Column1"/>
  </tableColumns>
  <tableStyleInfo name="TG4 Current Shift -style 87" showFirstColumn="1" showLastColumn="1" showRowStripes="1" showColumnStripes="0"/>
</table>
</file>

<file path=xl/tables/table8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03" xr:uid="{00000000-000C-0000-FFFF-FFFFCA000000}" name="Table_203" displayName="Table_203" ref="I54:J54" headerRowCount="0">
  <tableColumns count="2">
    <tableColumn id="1" xr3:uid="{00000000-0010-0000-CA00-000001000000}" name="Column1"/>
    <tableColumn id="2" xr3:uid="{00000000-0010-0000-CA00-000002000000}" name="Column2"/>
  </tableColumns>
  <tableStyleInfo name="TG4 Current Shift -style 88" showFirstColumn="1" showLastColumn="1" showRowStripes="1" showColumnStripes="0"/>
</table>
</file>

<file path=xl/tables/table8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04" xr:uid="{00000000-000C-0000-FFFF-FFFFCB000000}" name="Table_204" displayName="Table_204" ref="K54:L54" headerRowCount="0">
  <tableColumns count="2">
    <tableColumn id="1" xr3:uid="{00000000-0010-0000-CB00-000001000000}" name="Column1"/>
    <tableColumn id="2" xr3:uid="{00000000-0010-0000-CB00-000002000000}" name="Column2"/>
  </tableColumns>
  <tableStyleInfo name="TG4 Current Shift -style 89" showFirstColumn="1" showLastColumn="1" showRowStripes="1" showColumnStripes="0"/>
</table>
</file>

<file path=xl/tables/table9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05" xr:uid="{00000000-000C-0000-FFFF-FFFFCC000000}" name="Table_205" displayName="Table_205" ref="N54:O54" headerRowCount="0">
  <tableColumns count="2">
    <tableColumn id="1" xr3:uid="{00000000-0010-0000-CC00-000001000000}" name="Column1"/>
    <tableColumn id="2" xr3:uid="{00000000-0010-0000-CC00-000002000000}" name="Column2"/>
  </tableColumns>
  <tableStyleInfo name="TG4 Current Shift -style 90" showFirstColumn="1" showLastColumn="1" showRowStripes="1" showColumnStripes="0"/>
</table>
</file>

<file path=xl/tables/table9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06" xr:uid="{00000000-000C-0000-FFFF-FFFFCD000000}" name="Table_206" displayName="Table_206" ref="S54:V57" headerRowCount="0">
  <tableColumns count="4">
    <tableColumn id="1" xr3:uid="{00000000-0010-0000-CD00-000001000000}" name="Column1"/>
    <tableColumn id="2" xr3:uid="{00000000-0010-0000-CD00-000002000000}" name="Column2"/>
    <tableColumn id="3" xr3:uid="{00000000-0010-0000-CD00-000003000000}" name="Column3"/>
    <tableColumn id="4" xr3:uid="{00000000-0010-0000-CD00-000004000000}" name="Column4"/>
  </tableColumns>
  <tableStyleInfo name="TG4 Current Shift -style 91" showFirstColumn="1" showLastColumn="1" showRowStripes="1" showColumnStripes="0"/>
</table>
</file>

<file path=xl/tables/table9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07" xr:uid="{00000000-000C-0000-FFFF-FFFFCE000000}" name="Table_207" displayName="Table_207" ref="X54:AA54" headerRowCount="0">
  <tableColumns count="4">
    <tableColumn id="1" xr3:uid="{00000000-0010-0000-CE00-000001000000}" name="Column1"/>
    <tableColumn id="2" xr3:uid="{00000000-0010-0000-CE00-000002000000}" name="Column2"/>
    <tableColumn id="3" xr3:uid="{00000000-0010-0000-CE00-000003000000}" name="Column3"/>
    <tableColumn id="4" xr3:uid="{00000000-0010-0000-CE00-000004000000}" name="Column4"/>
  </tableColumns>
  <tableStyleInfo name="TG4 Current Shift -style 92" showFirstColumn="1" showLastColumn="1" showRowStripes="1" showColumnStripes="0"/>
</table>
</file>

<file path=xl/tables/table9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08" xr:uid="{00000000-000C-0000-FFFF-FFFFCF000000}" name="Table_208" displayName="Table_208" ref="D55:G55" headerRowCount="0">
  <tableColumns count="4">
    <tableColumn id="1" xr3:uid="{00000000-0010-0000-CF00-000001000000}" name="Column1"/>
    <tableColumn id="2" xr3:uid="{00000000-0010-0000-CF00-000002000000}" name="Column2"/>
    <tableColumn id="3" xr3:uid="{00000000-0010-0000-CF00-000003000000}" name="Column3"/>
    <tableColumn id="4" xr3:uid="{00000000-0010-0000-CF00-000004000000}" name="Column4"/>
  </tableColumns>
  <tableStyleInfo name="TG4 Current Shift -style 93" showFirstColumn="1" showLastColumn="1" showRowStripes="1" showColumnStripes="0"/>
</table>
</file>

<file path=xl/tables/table9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09" xr:uid="{00000000-000C-0000-FFFF-FFFFD0000000}" name="Table_209" displayName="Table_209" ref="I55:L55" headerRowCount="0">
  <tableColumns count="4">
    <tableColumn id="1" xr3:uid="{00000000-0010-0000-D000-000001000000}" name="Column1"/>
    <tableColumn id="2" xr3:uid="{00000000-0010-0000-D000-000002000000}" name="Column2"/>
    <tableColumn id="3" xr3:uid="{00000000-0010-0000-D000-000003000000}" name="Column3"/>
    <tableColumn id="4" xr3:uid="{00000000-0010-0000-D000-000004000000}" name="Column4"/>
  </tableColumns>
  <tableStyleInfo name="TG4 Current Shift -style 94" showFirstColumn="1" showLastColumn="1" showRowStripes="1" showColumnStripes="0"/>
</table>
</file>

<file path=xl/tables/table9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10" xr:uid="{00000000-000C-0000-FFFF-FFFFD1000000}" name="Table_210" displayName="Table_210" ref="N55:O56" headerRowCount="0">
  <tableColumns count="2">
    <tableColumn id="1" xr3:uid="{00000000-0010-0000-D100-000001000000}" name="Column1"/>
    <tableColumn id="2" xr3:uid="{00000000-0010-0000-D100-000002000000}" name="Column2"/>
  </tableColumns>
  <tableStyleInfo name="TG4 Current Shift -style 95" showFirstColumn="1" showLastColumn="1" showRowStripes="1" showColumnStripes="0"/>
</table>
</file>

<file path=xl/tables/table9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11" xr:uid="{00000000-000C-0000-FFFF-FFFFD2000000}" name="Table_211" displayName="Table_211" ref="P55:Q56" headerRowCount="0">
  <tableColumns count="2">
    <tableColumn id="1" xr3:uid="{00000000-0010-0000-D200-000001000000}" name="Column1"/>
    <tableColumn id="2" xr3:uid="{00000000-0010-0000-D200-000002000000}" name="Column2"/>
  </tableColumns>
  <tableStyleInfo name="TG4 Current Shift -style 96" showFirstColumn="1" showLastColumn="1" showRowStripes="1" showColumnStripes="0"/>
</table>
</file>

<file path=xl/tables/table9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12" xr:uid="{00000000-000C-0000-FFFF-FFFFD3000000}" name="Table_212" displayName="Table_212" ref="X55:AA55" headerRowCount="0">
  <tableColumns count="4">
    <tableColumn id="1" xr3:uid="{00000000-0010-0000-D300-000001000000}" name="Column1"/>
    <tableColumn id="2" xr3:uid="{00000000-0010-0000-D300-000002000000}" name="Column2"/>
    <tableColumn id="3" xr3:uid="{00000000-0010-0000-D300-000003000000}" name="Column3"/>
    <tableColumn id="4" xr3:uid="{00000000-0010-0000-D300-000004000000}" name="Column4"/>
  </tableColumns>
  <tableStyleInfo name="TG4 Current Shift -style 97" showFirstColumn="1" showLastColumn="1" showRowStripes="1" showColumnStripes="0"/>
</table>
</file>

<file path=xl/tables/table9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13" xr:uid="{00000000-000C-0000-FFFF-FFFFD4000000}" name="Table_213" displayName="Table_213" ref="D56:G56" headerRowCount="0">
  <tableColumns count="4">
    <tableColumn id="1" xr3:uid="{00000000-0010-0000-D400-000001000000}" name="Column1"/>
    <tableColumn id="2" xr3:uid="{00000000-0010-0000-D400-000002000000}" name="Column2"/>
    <tableColumn id="3" xr3:uid="{00000000-0010-0000-D400-000003000000}" name="Column3"/>
    <tableColumn id="4" xr3:uid="{00000000-0010-0000-D400-000004000000}" name="Column4"/>
  </tableColumns>
  <tableStyleInfo name="TG4 Current Shift -style 98" showFirstColumn="1" showLastColumn="1" showRowStripes="1" showColumnStripes="0"/>
</table>
</file>

<file path=xl/tables/table9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14" xr:uid="{00000000-000C-0000-FFFF-FFFFD5000000}" name="Table_214" displayName="Table_214" ref="I56:L56" headerRowCount="0">
  <tableColumns count="4">
    <tableColumn id="1" xr3:uid="{00000000-0010-0000-D500-000001000000}" name="Column1"/>
    <tableColumn id="2" xr3:uid="{00000000-0010-0000-D500-000002000000}" name="Column2"/>
    <tableColumn id="3" xr3:uid="{00000000-0010-0000-D500-000003000000}" name="Column3"/>
    <tableColumn id="4" xr3:uid="{00000000-0010-0000-D500-000004000000}" name="Column4"/>
  </tableColumns>
  <tableStyleInfo name="TG4 Current Shift -style 99" showFirstColumn="1" showLastColumn="1" showRowStripes="1" showColumnStripes="0"/>
</table>
</file>

<file path=xl/tables/table10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15" xr:uid="{00000000-000C-0000-FFFF-FFFFD6000000}" name="Table_215" displayName="Table_215" ref="D57:F59" headerRowCount="0">
  <tableColumns count="3">
    <tableColumn id="1" xr3:uid="{00000000-0010-0000-D600-000001000000}" name="Column1"/>
    <tableColumn id="2" xr3:uid="{00000000-0010-0000-D600-000002000000}" name="Column2"/>
    <tableColumn id="3" xr3:uid="{00000000-0010-0000-D600-000003000000}" name="Column3"/>
  </tableColumns>
  <tableStyleInfo name="TG4 Current Shift -style 100" showFirstColumn="1" showLastColumn="1" showRowStripes="1" showColumnStripes="0"/>
</table>
</file>

<file path=xl/tables/table10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16" xr:uid="{00000000-000C-0000-FFFF-FFFFD7000000}" name="Table_216" displayName="Table_216" ref="G57:G59" headerRowCount="0">
  <tableColumns count="1">
    <tableColumn id="1" xr3:uid="{00000000-0010-0000-D700-000001000000}" name="Column1"/>
  </tableColumns>
  <tableStyleInfo name="TG4 Current Shift -style 101" showFirstColumn="1" showLastColumn="1" showRowStripes="1" showColumnStripes="0"/>
</table>
</file>

<file path=xl/tables/table10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17" xr:uid="{00000000-000C-0000-FFFF-FFFFD8000000}" name="Table_217" displayName="Table_217" ref="L57:L63" headerRowCount="0">
  <tableColumns count="1">
    <tableColumn id="1" xr3:uid="{00000000-0010-0000-D800-000001000000}" name="Column1"/>
  </tableColumns>
  <tableStyleInfo name="TG4 Current Shift -style 102" showFirstColumn="1" showLastColumn="1" showRowStripes="1" showColumnStripes="0"/>
</table>
</file>

<file path=xl/tables/table10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18" xr:uid="{00000000-000C-0000-FFFF-FFFFD9000000}" name="Table_218" displayName="Table_218" ref="N57:Q60" headerRowCount="0">
  <tableColumns count="4">
    <tableColumn id="1" xr3:uid="{00000000-0010-0000-D900-000001000000}" name="Column1"/>
    <tableColumn id="2" xr3:uid="{00000000-0010-0000-D900-000002000000}" name="Column2"/>
    <tableColumn id="3" xr3:uid="{00000000-0010-0000-D900-000003000000}" name="Column3"/>
    <tableColumn id="4" xr3:uid="{00000000-0010-0000-D900-000004000000}" name="Column4"/>
  </tableColumns>
  <tableStyleInfo name="TG4 Current Shift -style 103" showFirstColumn="1" showLastColumn="1" showRowStripes="1" showColumnStripes="0"/>
</table>
</file>

<file path=xl/tables/table10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19" xr:uid="{00000000-000C-0000-FFFF-FFFFDA000000}" name="Table_219" displayName="Table_219" ref="D60:G60" headerRowCount="0">
  <tableColumns count="4">
    <tableColumn id="1" xr3:uid="{00000000-0010-0000-DA00-000001000000}" name="Column1"/>
    <tableColumn id="2" xr3:uid="{00000000-0010-0000-DA00-000002000000}" name="Column2"/>
    <tableColumn id="3" xr3:uid="{00000000-0010-0000-DA00-000003000000}" name="Column3"/>
    <tableColumn id="4" xr3:uid="{00000000-0010-0000-DA00-000004000000}" name="Column4"/>
  </tableColumns>
  <tableStyleInfo name="TG4 Current Shift -style 104" showFirstColumn="1" showLastColumn="1" showRowStripes="1" showColumnStripes="0"/>
</table>
</file>

<file path=xl/tables/table10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20" xr:uid="{00000000-000C-0000-FFFF-FFFFDB000000}" name="Table_220" displayName="Table_220" ref="D61:G63" headerRowCount="0">
  <tableColumns count="4">
    <tableColumn id="1" xr3:uid="{00000000-0010-0000-DB00-000001000000}" name="Column1"/>
    <tableColumn id="2" xr3:uid="{00000000-0010-0000-DB00-000002000000}" name="Column2"/>
    <tableColumn id="3" xr3:uid="{00000000-0010-0000-DB00-000003000000}" name="Column3"/>
    <tableColumn id="4" xr3:uid="{00000000-0010-0000-DB00-000004000000}" name="Column4"/>
  </tableColumns>
  <tableStyleInfo name="TG4 Current Shift -style 105" showFirstColumn="1" showLastColumn="1" showRowStripes="1" showColumnStripes="0"/>
</table>
</file>

<file path=xl/tables/table10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21" xr:uid="{00000000-000C-0000-FFFF-FFFFDC000000}" name="Table_221" displayName="Table_221" ref="I61:J63" headerRowCount="0">
  <tableColumns count="2">
    <tableColumn id="1" xr3:uid="{00000000-0010-0000-DC00-000001000000}" name="Column1"/>
    <tableColumn id="2" xr3:uid="{00000000-0010-0000-DC00-000002000000}" name="Column2"/>
  </tableColumns>
  <tableStyleInfo name="TG4 Current Shift -style 106" showFirstColumn="1" showLastColumn="1" showRowStripes="1" showColumnStripes="0"/>
</table>
</file>

<file path=xl/tables/table10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22" xr:uid="{00000000-000C-0000-FFFF-FFFFDD000000}" name="Table_222" displayName="Table_222" ref="K63" headerRowCount="0">
  <tableColumns count="1">
    <tableColumn id="1" xr3:uid="{00000000-0010-0000-DD00-000001000000}" name="Column1"/>
  </tableColumns>
  <tableStyleInfo name="TG4 Current Shift -style 107" showFirstColumn="1" showLastColumn="1" showRowStripes="1" showColumnStripes="0"/>
</table>
</file>

<file path=xl/tables/table10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23" xr:uid="{00000000-000C-0000-FFFF-FFFFDE000000}" name="Table_223" displayName="Table_223" ref="Q63:Q64" headerRowCount="0">
  <tableColumns count="1">
    <tableColumn id="1" xr3:uid="{00000000-0010-0000-DE00-000001000000}" name="Column1"/>
  </tableColumns>
  <tableStyleInfo name="TG4 Current Shift -style 108" showFirstColumn="1" showLastColumn="1" showRowStripes="1" showColumnStripes="0"/>
</table>
</file>

<file path=xl/tables/table10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24" xr:uid="{00000000-000C-0000-FFFF-FFFFDF000000}" name="Table_224" displayName="Table_224" ref="E64:G64" headerRowCount="0">
  <tableColumns count="3">
    <tableColumn id="1" xr3:uid="{00000000-0010-0000-DF00-000001000000}" name="Column1"/>
    <tableColumn id="2" xr3:uid="{00000000-0010-0000-DF00-000002000000}" name="Column2"/>
    <tableColumn id="3" xr3:uid="{00000000-0010-0000-DF00-000003000000}" name="Column3"/>
  </tableColumns>
  <tableStyleInfo name="TG4 Current Shift -style 109" showFirstColumn="1" showLastColumn="1" showRowStripes="1" showColumnStripes="0"/>
</table>
</file>

<file path=xl/tables/table1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25" xr:uid="{00000000-000C-0000-FFFF-FFFFE0000000}" name="Table_225" displayName="Table_225" ref="D65:G65" headerRowCount="0">
  <tableColumns count="4">
    <tableColumn id="1" xr3:uid="{00000000-0010-0000-E000-000001000000}" name="Column1"/>
    <tableColumn id="2" xr3:uid="{00000000-0010-0000-E000-000002000000}" name="Column2"/>
    <tableColumn id="3" xr3:uid="{00000000-0010-0000-E000-000003000000}" name="Column3"/>
    <tableColumn id="4" xr3:uid="{00000000-0010-0000-E000-000004000000}" name="Column4"/>
  </tableColumns>
  <tableStyleInfo name="TG4 Current Shift -style 110" showFirstColumn="1" showLastColumn="1" showRowStripes="1" showColumnStripes="0"/>
</table>
</file>

<file path=xl/tables/table1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26" xr:uid="{00000000-000C-0000-FFFF-FFFFE1000000}" name="Table_226" displayName="Table_226" ref="I65:L65" headerRowCount="0">
  <tableColumns count="4">
    <tableColumn id="1" xr3:uid="{00000000-0010-0000-E100-000001000000}" name="Column1"/>
    <tableColumn id="2" xr3:uid="{00000000-0010-0000-E100-000002000000}" name="Column2"/>
    <tableColumn id="3" xr3:uid="{00000000-0010-0000-E100-000003000000}" name="Column3"/>
    <tableColumn id="4" xr3:uid="{00000000-0010-0000-E100-000004000000}" name="Column4"/>
  </tableColumns>
  <tableStyleInfo name="TG4 Current Shift -style 111" showFirstColumn="1" showLastColumn="1" showRowStripes="1" showColumnStripes="0"/>
</table>
</file>

<file path=xl/tables/table1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27" xr:uid="{00000000-000C-0000-FFFF-FFFFE2000000}" name="Table_227" displayName="Table_227" ref="D66:G66" headerRowCount="0">
  <tableColumns count="4">
    <tableColumn id="1" xr3:uid="{00000000-0010-0000-E200-000001000000}" name="Column1"/>
    <tableColumn id="2" xr3:uid="{00000000-0010-0000-E200-000002000000}" name="Column2"/>
    <tableColumn id="3" xr3:uid="{00000000-0010-0000-E200-000003000000}" name="Column3"/>
    <tableColumn id="4" xr3:uid="{00000000-0010-0000-E200-000004000000}" name="Column4"/>
  </tableColumns>
  <tableStyleInfo name="TG4 Current Shift -style 112" showFirstColumn="1" showLastColumn="1" showRowStripes="1" showColumnStripes="0"/>
</table>
</file>

<file path=xl/tables/table1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28" xr:uid="{00000000-000C-0000-FFFF-FFFFE3000000}" name="Table_228" displayName="Table_228" ref="J66:L68" headerRowCount="0">
  <tableColumns count="3">
    <tableColumn id="1" xr3:uid="{00000000-0010-0000-E300-000001000000}" name="Column1"/>
    <tableColumn id="2" xr3:uid="{00000000-0010-0000-E300-000002000000}" name="Column2"/>
    <tableColumn id="3" xr3:uid="{00000000-0010-0000-E300-000003000000}" name="Column3"/>
  </tableColumns>
  <tableStyleInfo name="TG4 Current Shift -style 113" showFirstColumn="1" showLastColumn="1" showRowStripes="1" showColumnStripes="0"/>
</table>
</file>

<file path=xl/tables/table1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29" xr:uid="{00000000-000C-0000-FFFF-FFFFE4000000}" name="Table_229" displayName="Table_229" ref="D67:G67" headerRowCount="0">
  <tableColumns count="4">
    <tableColumn id="1" xr3:uid="{00000000-0010-0000-E400-000001000000}" name="Column1"/>
    <tableColumn id="2" xr3:uid="{00000000-0010-0000-E400-000002000000}" name="Column2"/>
    <tableColumn id="3" xr3:uid="{00000000-0010-0000-E400-000003000000}" name="Column3"/>
    <tableColumn id="4" xr3:uid="{00000000-0010-0000-E400-000004000000}" name="Column4"/>
  </tableColumns>
  <tableStyleInfo name="TG4 Current Shift -style 114" showFirstColumn="1" showLastColumn="1" showRowStripes="1" showColumnStripes="0"/>
</table>
</file>

<file path=xl/tables/table1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30" xr:uid="{00000000-000C-0000-FFFF-FFFFE5000000}" name="Table_230" displayName="Table_230" ref="N67:Q67" headerRowCount="0">
  <tableColumns count="4">
    <tableColumn id="1" xr3:uid="{00000000-0010-0000-E500-000001000000}" name="Column1"/>
    <tableColumn id="2" xr3:uid="{00000000-0010-0000-E500-000002000000}" name="Column2"/>
    <tableColumn id="3" xr3:uid="{00000000-0010-0000-E500-000003000000}" name="Column3"/>
    <tableColumn id="4" xr3:uid="{00000000-0010-0000-E500-000004000000}" name="Column4"/>
  </tableColumns>
  <tableStyleInfo name="TG4 Current Shift -style 115" showFirstColumn="1" showLastColumn="1" showRowStripes="1" showColumnStripes="0"/>
</table>
</file>

<file path=xl/tables/table1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31" xr:uid="{00000000-000C-0000-FFFF-FFFFE6000000}" name="Table_231" displayName="Table_231" ref="D69:G69" headerRowCount="0">
  <tableColumns count="4">
    <tableColumn id="1" xr3:uid="{00000000-0010-0000-E600-000001000000}" name="Column1"/>
    <tableColumn id="2" xr3:uid="{00000000-0010-0000-E600-000002000000}" name="Column2"/>
    <tableColumn id="3" xr3:uid="{00000000-0010-0000-E600-000003000000}" name="Column3"/>
    <tableColumn id="4" xr3:uid="{00000000-0010-0000-E600-000004000000}" name="Column4"/>
  </tableColumns>
  <tableStyleInfo name="TG4 Current Shift -style 116" showFirstColumn="1" showLastColumn="1" showRowStripes="1" showColumnStripes="0"/>
</table>
</file>

<file path=xl/tables/table1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32" xr:uid="{00000000-000C-0000-FFFF-FFFFE7000000}" name="Table_232" displayName="Table_232" ref="I69:L69" headerRowCount="0">
  <tableColumns count="4">
    <tableColumn id="1" xr3:uid="{00000000-0010-0000-E700-000001000000}" name="Column1"/>
    <tableColumn id="2" xr3:uid="{00000000-0010-0000-E700-000002000000}" name="Column2"/>
    <tableColumn id="3" xr3:uid="{00000000-0010-0000-E700-000003000000}" name="Column3"/>
    <tableColumn id="4" xr3:uid="{00000000-0010-0000-E700-000004000000}" name="Column4"/>
  </tableColumns>
  <tableStyleInfo name="TG4 Current Shift -style 117" showFirstColumn="1" showLastColumn="1" showRowStripes="1" showColumnStripes="0"/>
</table>
</file>

<file path=xl/tables/table11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33" xr:uid="{00000000-000C-0000-FFFF-FFFFE8000000}" name="Table_233" displayName="Table_233" ref="I70:L71" headerRowCount="0">
  <tableColumns count="4">
    <tableColumn id="1" xr3:uid="{00000000-0010-0000-E800-000001000000}" name="Column1"/>
    <tableColumn id="2" xr3:uid="{00000000-0010-0000-E800-000002000000}" name="Column2"/>
    <tableColumn id="3" xr3:uid="{00000000-0010-0000-E800-000003000000}" name="Column3"/>
    <tableColumn id="4" xr3:uid="{00000000-0010-0000-E800-000004000000}" name="Column4"/>
  </tableColumns>
  <tableStyleInfo name="TG4 Current Shift -style 118" showFirstColumn="1" showLastColumn="1" showRowStripes="1" showColumnStripes="0"/>
</table>
</file>

<file path=xl/tables/table11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34" xr:uid="{00000000-000C-0000-FFFF-FFFFE9000000}" name="Table_234" displayName="Table_234" ref="D71:G71" headerRowCount="0">
  <tableColumns count="4">
    <tableColumn id="1" xr3:uid="{00000000-0010-0000-E900-000001000000}" name="Column1"/>
    <tableColumn id="2" xr3:uid="{00000000-0010-0000-E900-000002000000}" name="Column2"/>
    <tableColumn id="3" xr3:uid="{00000000-0010-0000-E900-000003000000}" name="Column3"/>
    <tableColumn id="4" xr3:uid="{00000000-0010-0000-E900-000004000000}" name="Column4"/>
  </tableColumns>
  <tableStyleInfo name="TG4 Current Shift -style 119" showFirstColumn="1" showLastColumn="1" showRowStripes="1" showColumnStripes="0"/>
</table>
</file>

<file path=xl/tables/table12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35" xr:uid="{00000000-000C-0000-FFFF-FFFFEA000000}" name="Table_235" displayName="Table_235" ref="D72:G72" headerRowCount="0">
  <tableColumns count="4">
    <tableColumn id="1" xr3:uid="{00000000-0010-0000-EA00-000001000000}" name="Column1"/>
    <tableColumn id="2" xr3:uid="{00000000-0010-0000-EA00-000002000000}" name="Column2"/>
    <tableColumn id="3" xr3:uid="{00000000-0010-0000-EA00-000003000000}" name="Column3"/>
    <tableColumn id="4" xr3:uid="{00000000-0010-0000-EA00-000004000000}" name="Column4"/>
  </tableColumns>
  <tableStyleInfo name="TG4 Current Shift -style 120" showFirstColumn="1" showLastColumn="1" showRowStripes="1" showColumnStripes="0"/>
</table>
</file>

<file path=xl/tables/table12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36" xr:uid="{00000000-000C-0000-FFFF-FFFFEB000000}" name="Table_236" displayName="Table_236" ref="I72:L72" headerRowCount="0">
  <tableColumns count="4">
    <tableColumn id="1" xr3:uid="{00000000-0010-0000-EB00-000001000000}" name="Column1"/>
    <tableColumn id="2" xr3:uid="{00000000-0010-0000-EB00-000002000000}" name="Column2"/>
    <tableColumn id="3" xr3:uid="{00000000-0010-0000-EB00-000003000000}" name="Column3"/>
    <tableColumn id="4" xr3:uid="{00000000-0010-0000-EB00-000004000000}" name="Column4"/>
  </tableColumns>
  <tableStyleInfo name="TG4 Current Shift -style 121" showFirstColumn="1" showLastColumn="1" showRowStripes="1" showColumnStripes="0"/>
</table>
</file>

<file path=xl/tables/table12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37" xr:uid="{00000000-000C-0000-FFFF-FFFFEC000000}" name="Table_237" displayName="Table_237" ref="S72:V72" headerRowCount="0">
  <tableColumns count="4">
    <tableColumn id="1" xr3:uid="{00000000-0010-0000-EC00-000001000000}" name="Column1"/>
    <tableColumn id="2" xr3:uid="{00000000-0010-0000-EC00-000002000000}" name="Column2"/>
    <tableColumn id="3" xr3:uid="{00000000-0010-0000-EC00-000003000000}" name="Column3"/>
    <tableColumn id="4" xr3:uid="{00000000-0010-0000-EC00-000004000000}" name="Column4"/>
  </tableColumns>
  <tableStyleInfo name="TG4 Current Shift -style 122" showFirstColumn="1" showLastColumn="1" showRowStripes="1" showColumnStripes="0"/>
</table>
</file>

<file path=xl/tables/table12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38" xr:uid="{00000000-000C-0000-FFFF-FFFFED000000}" name="Table_238" displayName="Table_238" ref="D74:G74" headerRowCount="0">
  <tableColumns count="4">
    <tableColumn id="1" xr3:uid="{00000000-0010-0000-ED00-000001000000}" name="Column1"/>
    <tableColumn id="2" xr3:uid="{00000000-0010-0000-ED00-000002000000}" name="Column2"/>
    <tableColumn id="3" xr3:uid="{00000000-0010-0000-ED00-000003000000}" name="Column3"/>
    <tableColumn id="4" xr3:uid="{00000000-0010-0000-ED00-000004000000}" name="Column4"/>
  </tableColumns>
  <tableStyleInfo name="TG4 Current Shift -style 123" showFirstColumn="1" showLastColumn="1" showRowStripes="1" showColumnStripes="0"/>
</table>
</file>

<file path=xl/tables/table12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39" xr:uid="{00000000-000C-0000-FFFF-FFFFEE000000}" name="Table_239" displayName="Table_239" ref="K74:L76" headerRowCount="0">
  <tableColumns count="2">
    <tableColumn id="1" xr3:uid="{00000000-0010-0000-EE00-000001000000}" name="Column1"/>
    <tableColumn id="2" xr3:uid="{00000000-0010-0000-EE00-000002000000}" name="Column2"/>
  </tableColumns>
  <tableStyleInfo name="TG4 Current Shift -style 124" showFirstColumn="1" showLastColumn="1" showRowStripes="1" showColumnStripes="0"/>
</table>
</file>

<file path=xl/tables/table12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40" xr:uid="{00000000-000C-0000-FFFF-FFFFEF000000}" name="Table_240" displayName="Table_240" ref="D75:G75" headerRowCount="0">
  <tableColumns count="4">
    <tableColumn id="1" xr3:uid="{00000000-0010-0000-EF00-000001000000}" name="Column1"/>
    <tableColumn id="2" xr3:uid="{00000000-0010-0000-EF00-000002000000}" name="Column2"/>
    <tableColumn id="3" xr3:uid="{00000000-0010-0000-EF00-000003000000}" name="Column3"/>
    <tableColumn id="4" xr3:uid="{00000000-0010-0000-EF00-000004000000}" name="Column4"/>
  </tableColumns>
  <tableStyleInfo name="TG4 Current Shift -style 125" showFirstColumn="1" showLastColumn="1" showRowStripes="1" showColumnStripes="0"/>
</table>
</file>

<file path=xl/tables/table12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41" xr:uid="{00000000-000C-0000-FFFF-FFFFF0000000}" name="Table_241" displayName="Table_241" ref="I75:J76" headerRowCount="0">
  <tableColumns count="2">
    <tableColumn id="1" xr3:uid="{00000000-0010-0000-F000-000001000000}" name="Column1"/>
    <tableColumn id="2" xr3:uid="{00000000-0010-0000-F000-000002000000}" name="Column2"/>
  </tableColumns>
  <tableStyleInfo name="TG4 Current Shift -style 126" showFirstColumn="1" showLastColumn="1" showRowStripes="1" showColumnStripes="0"/>
</table>
</file>

<file path=xl/tables/table12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42" xr:uid="{00000000-000C-0000-FFFF-FFFFF1000000}" name="Table_242" displayName="Table_242" ref="D76:G76" headerRowCount="0">
  <tableColumns count="4">
    <tableColumn id="1" xr3:uid="{00000000-0010-0000-F100-000001000000}" name="Column1"/>
    <tableColumn id="2" xr3:uid="{00000000-0010-0000-F100-000002000000}" name="Column2"/>
    <tableColumn id="3" xr3:uid="{00000000-0010-0000-F100-000003000000}" name="Column3"/>
    <tableColumn id="4" xr3:uid="{00000000-0010-0000-F100-000004000000}" name="Column4"/>
  </tableColumns>
  <tableStyleInfo name="TG4 Current Shift -style 127" showFirstColumn="1" showLastColumn="1" showRowStripes="1" showColumnStripes="0"/>
</table>
</file>

<file path=xl/tables/table12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43" xr:uid="{00000000-000C-0000-FFFF-FFFFF2000000}" name="Table_243" displayName="Table_243" ref="D77:G78" headerRowCount="0">
  <tableColumns count="4">
    <tableColumn id="1" xr3:uid="{00000000-0010-0000-F200-000001000000}" name="Column1"/>
    <tableColumn id="2" xr3:uid="{00000000-0010-0000-F200-000002000000}" name="Column2"/>
    <tableColumn id="3" xr3:uid="{00000000-0010-0000-F200-000003000000}" name="Column3"/>
    <tableColumn id="4" xr3:uid="{00000000-0010-0000-F200-000004000000}" name="Column4"/>
  </tableColumns>
  <tableStyleInfo name="TG4 Current Shift -style 128" showFirstColumn="1" showLastColumn="1" showRowStripes="1" showColumnStripes="0"/>
</table>
</file>

<file path=xl/tables/table12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44" xr:uid="{00000000-000C-0000-FFFF-FFFFF3000000}" name="Table_244" displayName="Table_244" ref="I78:L79" headerRowCount="0">
  <tableColumns count="4">
    <tableColumn id="1" xr3:uid="{00000000-0010-0000-F300-000001000000}" name="Column1"/>
    <tableColumn id="2" xr3:uid="{00000000-0010-0000-F300-000002000000}" name="Column2"/>
    <tableColumn id="3" xr3:uid="{00000000-0010-0000-F300-000003000000}" name="Column3"/>
    <tableColumn id="4" xr3:uid="{00000000-0010-0000-F300-000004000000}" name="Column4"/>
  </tableColumns>
  <tableStyleInfo name="TG4 Current Shift -style 129" showFirstColumn="1" showLastColumn="1" showRowStripes="1" showColumnStripes="0"/>
</table>
</file>

<file path=xl/tables/table13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45" xr:uid="{00000000-000C-0000-FFFF-FFFFF4000000}" name="Table_245" displayName="Table_245" ref="S78:V78" headerRowCount="0">
  <tableColumns count="4">
    <tableColumn id="1" xr3:uid="{00000000-0010-0000-F400-000001000000}" name="Column1"/>
    <tableColumn id="2" xr3:uid="{00000000-0010-0000-F400-000002000000}" name="Column2"/>
    <tableColumn id="3" xr3:uid="{00000000-0010-0000-F400-000003000000}" name="Column3"/>
    <tableColumn id="4" xr3:uid="{00000000-0010-0000-F400-000004000000}" name="Column4"/>
  </tableColumns>
  <tableStyleInfo name="TG4 Current Shift -style 130" showFirstColumn="1" showLastColumn="1" showRowStripes="1" showColumnStripes="0"/>
</table>
</file>

<file path=xl/tables/table13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46" xr:uid="{00000000-000C-0000-FFFF-FFFFF5000000}" name="Table_246" displayName="Table_246" ref="D79:G79" headerRowCount="0">
  <tableColumns count="4">
    <tableColumn id="1" xr3:uid="{00000000-0010-0000-F500-000001000000}" name="Column1"/>
    <tableColumn id="2" xr3:uid="{00000000-0010-0000-F500-000002000000}" name="Column2"/>
    <tableColumn id="3" xr3:uid="{00000000-0010-0000-F500-000003000000}" name="Column3"/>
    <tableColumn id="4" xr3:uid="{00000000-0010-0000-F500-000004000000}" name="Column4"/>
  </tableColumns>
  <tableStyleInfo name="TG4 Current Shift -style 131" showFirstColumn="1" showLastColumn="1" showRowStripes="1" showColumnStripes="0"/>
</table>
</file>

<file path=xl/tables/table13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47" xr:uid="{00000000-000C-0000-FFFF-FFFFF6000000}" name="Table_247" displayName="Table_247" ref="H80:L82" headerRowCount="0">
  <tableColumns count="5">
    <tableColumn id="1" xr3:uid="{00000000-0010-0000-F600-000001000000}" name="Column1"/>
    <tableColumn id="2" xr3:uid="{00000000-0010-0000-F600-000002000000}" name="Column2"/>
    <tableColumn id="3" xr3:uid="{00000000-0010-0000-F600-000003000000}" name="Column3"/>
    <tableColumn id="4" xr3:uid="{00000000-0010-0000-F600-000004000000}" name="Column4"/>
    <tableColumn id="5" xr3:uid="{00000000-0010-0000-F600-000005000000}" name="Column5"/>
  </tableColumns>
  <tableStyleInfo name="TG4 Current Shift -style 132" showFirstColumn="1" showLastColumn="1" showRowStripes="1" showColumnStripes="0"/>
</table>
</file>

<file path=xl/tables/table13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48" xr:uid="{00000000-000C-0000-FFFF-FFFFF7000000}" name="Table_248" displayName="Table_248" ref="M80:AA81" headerRowCount="0">
  <tableColumns count="15">
    <tableColumn id="1" xr3:uid="{00000000-0010-0000-F700-000001000000}" name="Column1"/>
    <tableColumn id="2" xr3:uid="{00000000-0010-0000-F700-000002000000}" name="Column2"/>
    <tableColumn id="3" xr3:uid="{00000000-0010-0000-F700-000003000000}" name="Column3"/>
    <tableColumn id="4" xr3:uid="{00000000-0010-0000-F700-000004000000}" name="Column4"/>
    <tableColumn id="5" xr3:uid="{00000000-0010-0000-F700-000005000000}" name="Column5"/>
    <tableColumn id="6" xr3:uid="{00000000-0010-0000-F700-000006000000}" name="Column6"/>
    <tableColumn id="7" xr3:uid="{00000000-0010-0000-F700-000007000000}" name="Column7"/>
    <tableColumn id="8" xr3:uid="{00000000-0010-0000-F700-000008000000}" name="Column8"/>
    <tableColumn id="9" xr3:uid="{00000000-0010-0000-F700-000009000000}" name="Column9"/>
    <tableColumn id="10" xr3:uid="{00000000-0010-0000-F700-00000A000000}" name="Column10"/>
    <tableColumn id="11" xr3:uid="{00000000-0010-0000-F700-00000B000000}" name="Column11"/>
    <tableColumn id="12" xr3:uid="{00000000-0010-0000-F700-00000C000000}" name="Column12"/>
    <tableColumn id="13" xr3:uid="{00000000-0010-0000-F700-00000D000000}" name="Column13"/>
    <tableColumn id="14" xr3:uid="{00000000-0010-0000-F700-00000E000000}" name="Column14"/>
    <tableColumn id="15" xr3:uid="{00000000-0010-0000-F700-00000F000000}" name="Column15"/>
  </tableColumns>
  <tableStyleInfo name="TG4 Current Shift -style 133" showFirstColumn="1" showLastColumn="1" showRowStripes="1" showColumnStripes="0"/>
</table>
</file>

<file path=xl/tables/table13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49" xr:uid="{00000000-000C-0000-FFFF-FFFFF8000000}" name="Table_249" displayName="Table_249" ref="D82:G82" headerRowCount="0">
  <tableColumns count="4">
    <tableColumn id="1" xr3:uid="{00000000-0010-0000-F800-000001000000}" name="Column1"/>
    <tableColumn id="2" xr3:uid="{00000000-0010-0000-F800-000002000000}" name="Column2"/>
    <tableColumn id="3" xr3:uid="{00000000-0010-0000-F800-000003000000}" name="Column3"/>
    <tableColumn id="4" xr3:uid="{00000000-0010-0000-F800-000004000000}" name="Column4"/>
  </tableColumns>
  <tableStyleInfo name="TG4 Current Shift -style 134" showFirstColumn="1" showLastColumn="1" showRowStripes="1" showColumnStripes="0"/>
</table>
</file>

<file path=xl/tables/table13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50" xr:uid="{00000000-000C-0000-FFFF-FFFFF9000000}" name="Table_250" displayName="Table_250" ref="M82:V83" headerRowCount="0">
  <tableColumns count="10">
    <tableColumn id="1" xr3:uid="{00000000-0010-0000-F900-000001000000}" name="Column1"/>
    <tableColumn id="2" xr3:uid="{00000000-0010-0000-F900-000002000000}" name="Column2"/>
    <tableColumn id="3" xr3:uid="{00000000-0010-0000-F900-000003000000}" name="Column3"/>
    <tableColumn id="4" xr3:uid="{00000000-0010-0000-F900-000004000000}" name="Column4"/>
    <tableColumn id="5" xr3:uid="{00000000-0010-0000-F900-000005000000}" name="Column5"/>
    <tableColumn id="6" xr3:uid="{00000000-0010-0000-F900-000006000000}" name="Column6"/>
    <tableColumn id="7" xr3:uid="{00000000-0010-0000-F900-000007000000}" name="Column7"/>
    <tableColumn id="8" xr3:uid="{00000000-0010-0000-F900-000008000000}" name="Column8"/>
    <tableColumn id="9" xr3:uid="{00000000-0010-0000-F900-000009000000}" name="Column9"/>
    <tableColumn id="10" xr3:uid="{00000000-0010-0000-F900-00000A000000}" name="Column10"/>
  </tableColumns>
  <tableStyleInfo name="TG4 Current Shift -style 135" showFirstColumn="1" showLastColumn="1" showRowStripes="1" showColumnStripes="0"/>
</table>
</file>

<file path=xl/tables/table13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51" xr:uid="{00000000-000C-0000-FFFF-FFFFFA000000}" name="Table_251" displayName="Table_251" ref="H83:L84" headerRowCount="0">
  <tableColumns count="5">
    <tableColumn id="1" xr3:uid="{00000000-0010-0000-FA00-000001000000}" name="Column1"/>
    <tableColumn id="2" xr3:uid="{00000000-0010-0000-FA00-000002000000}" name="Column2"/>
    <tableColumn id="3" xr3:uid="{00000000-0010-0000-FA00-000003000000}" name="Column3"/>
    <tableColumn id="4" xr3:uid="{00000000-0010-0000-FA00-000004000000}" name="Column4"/>
    <tableColumn id="5" xr3:uid="{00000000-0010-0000-FA00-000005000000}" name="Column5"/>
  </tableColumns>
  <tableStyleInfo name="TG4 Current Shift -style 136" showFirstColumn="1" showLastColumn="1" showRowStripes="1" showColumnStripes="0"/>
</table>
</file>

<file path=xl/tables/table13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52" xr:uid="{00000000-000C-0000-FFFF-FFFFFB000000}" name="Table_252" displayName="Table_252" ref="R84:AA84" headerRowCount="0">
  <tableColumns count="10">
    <tableColumn id="1" xr3:uid="{00000000-0010-0000-FB00-000001000000}" name="Column1"/>
    <tableColumn id="2" xr3:uid="{00000000-0010-0000-FB00-000002000000}" name="Column2"/>
    <tableColumn id="3" xr3:uid="{00000000-0010-0000-FB00-000003000000}" name="Column3"/>
    <tableColumn id="4" xr3:uid="{00000000-0010-0000-FB00-000004000000}" name="Column4"/>
    <tableColumn id="5" xr3:uid="{00000000-0010-0000-FB00-000005000000}" name="Column5"/>
    <tableColumn id="6" xr3:uid="{00000000-0010-0000-FB00-000006000000}" name="Column6"/>
    <tableColumn id="7" xr3:uid="{00000000-0010-0000-FB00-000007000000}" name="Column7"/>
    <tableColumn id="8" xr3:uid="{00000000-0010-0000-FB00-000008000000}" name="Column8"/>
    <tableColumn id="9" xr3:uid="{00000000-0010-0000-FB00-000009000000}" name="Column9"/>
    <tableColumn id="10" xr3:uid="{00000000-0010-0000-FB00-00000A000000}" name="Column10"/>
  </tableColumns>
  <tableStyleInfo name="TG4 Current Shift -style 137" showFirstColumn="1" showLastColumn="1" showRowStripes="1" showColumnStripes="0"/>
</table>
</file>

<file path=xl/tables/table13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53" xr:uid="{00000000-000C-0000-FFFF-FFFFFC000000}" name="Table_253" displayName="Table_253" ref="N86:Q89" headerRowCount="0">
  <tableColumns count="4">
    <tableColumn id="1" xr3:uid="{00000000-0010-0000-FC00-000001000000}" name="Column1"/>
    <tableColumn id="2" xr3:uid="{00000000-0010-0000-FC00-000002000000}" name="Column2"/>
    <tableColumn id="3" xr3:uid="{00000000-0010-0000-FC00-000003000000}" name="Column3"/>
    <tableColumn id="4" xr3:uid="{00000000-0010-0000-FC00-000004000000}" name="Column4"/>
  </tableColumns>
  <tableStyleInfo name="TG4 Current Shift -style 138" showFirstColumn="1" showLastColumn="1" showRowStripes="1" showColumnStripes="0"/>
</table>
</file>

<file path=xl/tables/table13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54" xr:uid="{00000000-000C-0000-FFFF-FFFFFD000000}" name="Table_254" displayName="Table_254" ref="S86:Z87" headerRowCount="0">
  <tableColumns count="8">
    <tableColumn id="1" xr3:uid="{00000000-0010-0000-FD00-000001000000}" name="Column1"/>
    <tableColumn id="2" xr3:uid="{00000000-0010-0000-FD00-000002000000}" name="Column2"/>
    <tableColumn id="3" xr3:uid="{00000000-0010-0000-FD00-000003000000}" name="Column3"/>
    <tableColumn id="4" xr3:uid="{00000000-0010-0000-FD00-000004000000}" name="Column4"/>
    <tableColumn id="5" xr3:uid="{00000000-0010-0000-FD00-000005000000}" name="Column5"/>
    <tableColumn id="6" xr3:uid="{00000000-0010-0000-FD00-000006000000}" name="Column6"/>
    <tableColumn id="7" xr3:uid="{00000000-0010-0000-FD00-000007000000}" name="Column7"/>
    <tableColumn id="8" xr3:uid="{00000000-0010-0000-FD00-000008000000}" name="Column8"/>
  </tableColumns>
  <tableStyleInfo name="TG4 Current Shift -style 139" showFirstColumn="1" showLastColumn="1" showRowStripes="1" showColumnStripes="0"/>
</table>
</file>

<file path=xl/tables/table14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55" xr:uid="{00000000-000C-0000-FFFF-FFFFFE000000}" name="Table_255" displayName="Table_255" ref="I87:L88" headerRowCount="0">
  <tableColumns count="4">
    <tableColumn id="1" xr3:uid="{00000000-0010-0000-FE00-000001000000}" name="Column1"/>
    <tableColumn id="2" xr3:uid="{00000000-0010-0000-FE00-000002000000}" name="Column2"/>
    <tableColumn id="3" xr3:uid="{00000000-0010-0000-FE00-000003000000}" name="Column3"/>
    <tableColumn id="4" xr3:uid="{00000000-0010-0000-FE00-000004000000}" name="Column4"/>
  </tableColumns>
  <tableStyleInfo name="TG4 Current Shift -style 140" showFirstColumn="1" showLastColumn="1" showRowStripes="1" showColumnStripes="0"/>
</table>
</file>

<file path=xl/tables/table14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56" xr:uid="{00000000-000C-0000-FFFF-FFFFFF000000}" name="Table_256" displayName="Table_256" ref="H90:K93" headerRowCount="0">
  <tableColumns count="4">
    <tableColumn id="1" xr3:uid="{00000000-0010-0000-FF00-000001000000}" name="Column1"/>
    <tableColumn id="2" xr3:uid="{00000000-0010-0000-FF00-000002000000}" name="Column2"/>
    <tableColumn id="3" xr3:uid="{00000000-0010-0000-FF00-000003000000}" name="Column3"/>
    <tableColumn id="4" xr3:uid="{00000000-0010-0000-FF00-000004000000}" name="Column4"/>
  </tableColumns>
  <tableStyleInfo name="TG4 Current Shift -style 141" showFirstColumn="1" showLastColumn="1" showRowStripes="1" showColumnStripes="0"/>
</table>
</file>

<file path=xl/tables/table14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57" xr:uid="{00000000-000C-0000-FFFF-FFFF00010000}" name="Table_257" displayName="Table_257" ref="L90:L96" headerRowCount="0">
  <tableColumns count="1">
    <tableColumn id="1" xr3:uid="{00000000-0010-0000-0001-000001000000}" name="Column1"/>
  </tableColumns>
  <tableStyleInfo name="TG4 Current Shift -style 142" showFirstColumn="1" showLastColumn="1" showRowStripes="1" showColumnStripes="0"/>
</table>
</file>

<file path=xl/tables/table14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58" xr:uid="{00000000-000C-0000-FFFF-FFFF01010000}" name="Table_258" displayName="Table_258" ref="M90:W94" headerRowCount="0">
  <tableColumns count="11">
    <tableColumn id="1" xr3:uid="{00000000-0010-0000-0101-000001000000}" name="Column1"/>
    <tableColumn id="2" xr3:uid="{00000000-0010-0000-0101-000002000000}" name="Column2"/>
    <tableColumn id="3" xr3:uid="{00000000-0010-0000-0101-000003000000}" name="Column3"/>
    <tableColumn id="4" xr3:uid="{00000000-0010-0000-0101-000004000000}" name="Column4"/>
    <tableColumn id="5" xr3:uid="{00000000-0010-0000-0101-000005000000}" name="Column5"/>
    <tableColumn id="6" xr3:uid="{00000000-0010-0000-0101-000006000000}" name="Column6"/>
    <tableColumn id="7" xr3:uid="{00000000-0010-0000-0101-000007000000}" name="Column7"/>
    <tableColumn id="8" xr3:uid="{00000000-0010-0000-0101-000008000000}" name="Column8"/>
    <tableColumn id="9" xr3:uid="{00000000-0010-0000-0101-000009000000}" name="Column9"/>
    <tableColumn id="10" xr3:uid="{00000000-0010-0000-0101-00000A000000}" name="Column10"/>
    <tableColumn id="11" xr3:uid="{00000000-0010-0000-0101-00000B000000}" name="Column11"/>
  </tableColumns>
  <tableStyleInfo name="TG4 Current Shift -style 143" showFirstColumn="1" showLastColumn="1" showRowStripes="1" showColumnStripes="0"/>
</table>
</file>

<file path=xl/tables/table14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59" xr:uid="{00000000-000C-0000-FFFF-FFFF02010000}" name="Table_259" displayName="Table_259" ref="D93:G93" headerRowCount="0">
  <tableColumns count="4">
    <tableColumn id="1" xr3:uid="{00000000-0010-0000-0201-000001000000}" name="Column1"/>
    <tableColumn id="2" xr3:uid="{00000000-0010-0000-0201-000002000000}" name="Column2"/>
    <tableColumn id="3" xr3:uid="{00000000-0010-0000-0201-000003000000}" name="Column3"/>
    <tableColumn id="4" xr3:uid="{00000000-0010-0000-0201-000004000000}" name="Column4"/>
  </tableColumns>
  <tableStyleInfo name="TG4 Current Shift -style 144" showFirstColumn="1" showLastColumn="1" showRowStripes="1" showColumnStripes="0"/>
</table>
</file>

<file path=xl/tables/table14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60" xr:uid="{00000000-000C-0000-FFFF-FFFF03010000}" name="Table_260" displayName="Table_260" ref="X93:AA94" headerRowCount="0">
  <tableColumns count="4">
    <tableColumn id="1" xr3:uid="{00000000-0010-0000-0301-000001000000}" name="Column1"/>
    <tableColumn id="2" xr3:uid="{00000000-0010-0000-0301-000002000000}" name="Column2"/>
    <tableColumn id="3" xr3:uid="{00000000-0010-0000-0301-000003000000}" name="Column3"/>
    <tableColumn id="4" xr3:uid="{00000000-0010-0000-0301-000004000000}" name="Column4"/>
  </tableColumns>
  <tableStyleInfo name="TG4 Current Shift -style 145" showFirstColumn="1" showLastColumn="1" showRowStripes="1" showColumnStripes="0"/>
</table>
</file>

<file path=xl/tables/table14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61" xr:uid="{00000000-000C-0000-FFFF-FFFF04010000}" name="Table_261" displayName="Table_261" ref="I96:J96" headerRowCount="0">
  <tableColumns count="2">
    <tableColumn id="1" xr3:uid="{00000000-0010-0000-0401-000001000000}" name="Column1"/>
    <tableColumn id="2" xr3:uid="{00000000-0010-0000-0401-000002000000}" name="Column2"/>
  </tableColumns>
  <tableStyleInfo name="TG4 Current Shift -style 146" showFirstColumn="1" showLastColumn="1" showRowStripes="1" showColumnStripes="0"/>
</table>
</file>

<file path=xl/tables/table14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62" xr:uid="{00000000-000C-0000-FFFF-FFFF05010000}" name="Table_262" displayName="Table_262" ref="I100:K100" headerRowCount="0">
  <tableColumns count="3">
    <tableColumn id="1" xr3:uid="{00000000-0010-0000-0501-000001000000}" name="Column1"/>
    <tableColumn id="2" xr3:uid="{00000000-0010-0000-0501-000002000000}" name="Column2"/>
    <tableColumn id="3" xr3:uid="{00000000-0010-0000-0501-000003000000}" name="Column3"/>
  </tableColumns>
  <tableStyleInfo name="TG4 Current Shift -style 147" showFirstColumn="1" showLastColumn="1" showRowStripes="1" showColumnStripes="0"/>
</table>
</file>

<file path=xl/tables/table14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63" xr:uid="{00000000-000C-0000-FFFF-FFFF06010000}" name="Table_263" displayName="Table_263" ref="L100" headerRowCount="0">
  <tableColumns count="1">
    <tableColumn id="1" xr3:uid="{00000000-0010-0000-0601-000001000000}" name="Column1"/>
  </tableColumns>
  <tableStyleInfo name="TG4 Current Shift -style 148" showFirstColumn="1" showLastColumn="1" showRowStripes="1" showColumnStripes="0"/>
</table>
</file>

<file path=xl/tables/table14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64" xr:uid="{00000000-000C-0000-FFFF-FFFF07010000}" name="Table_264" displayName="Table_264" ref="D104:R127" headerRowCount="0">
  <tableColumns count="15">
    <tableColumn id="1" xr3:uid="{00000000-0010-0000-0701-000001000000}" name="Column1"/>
    <tableColumn id="2" xr3:uid="{00000000-0010-0000-0701-000002000000}" name="Column2"/>
    <tableColumn id="3" xr3:uid="{00000000-0010-0000-0701-000003000000}" name="Column3"/>
    <tableColumn id="4" xr3:uid="{00000000-0010-0000-0701-000004000000}" name="Column4"/>
    <tableColumn id="5" xr3:uid="{00000000-0010-0000-0701-000005000000}" name="Column5"/>
    <tableColumn id="6" xr3:uid="{00000000-0010-0000-0701-000006000000}" name="Column6"/>
    <tableColumn id="7" xr3:uid="{00000000-0010-0000-0701-000007000000}" name="Column7"/>
    <tableColumn id="8" xr3:uid="{00000000-0010-0000-0701-000008000000}" name="Column8"/>
    <tableColumn id="9" xr3:uid="{00000000-0010-0000-0701-000009000000}" name="Column9"/>
    <tableColumn id="10" xr3:uid="{00000000-0010-0000-0701-00000A000000}" name="Column10"/>
    <tableColumn id="11" xr3:uid="{00000000-0010-0000-0701-00000B000000}" name="Column11"/>
    <tableColumn id="12" xr3:uid="{00000000-0010-0000-0701-00000C000000}" name="Column12"/>
    <tableColumn id="13" xr3:uid="{00000000-0010-0000-0701-00000D000000}" name="Column13"/>
    <tableColumn id="14" xr3:uid="{00000000-0010-0000-0701-00000E000000}" name="Column14"/>
    <tableColumn id="15" xr3:uid="{00000000-0010-0000-0701-00000F000000}" name="Column15"/>
  </tableColumns>
  <tableStyleInfo name="TG4 Current Shift -style 149" showFirstColumn="1" showLastColumn="1" showRowStripes="1" showColumnStripes="0"/>
</table>
</file>

<file path=xl/tables/table15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65" xr:uid="{00000000-000C-0000-FFFF-FFFF08010000}" name="Table_265" displayName="Table_265" ref="S105:V105" headerRowCount="0">
  <tableColumns count="4">
    <tableColumn id="1" xr3:uid="{00000000-0010-0000-0801-000001000000}" name="Column1"/>
    <tableColumn id="2" xr3:uid="{00000000-0010-0000-0801-000002000000}" name="Column2"/>
    <tableColumn id="3" xr3:uid="{00000000-0010-0000-0801-000003000000}" name="Column3"/>
    <tableColumn id="4" xr3:uid="{00000000-0010-0000-0801-000004000000}" name="Column4"/>
  </tableColumns>
  <tableStyleInfo name="TG4 Current Shift -style 150" showFirstColumn="1" showLastColumn="1" showRowStripes="1" showColumnStripes="0"/>
</table>
</file>

<file path=xl/tables/table15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66" xr:uid="{00000000-000C-0000-FFFF-FFFF09010000}" name="Table_266" displayName="Table_266" ref="S106:U106" headerRowCount="0">
  <tableColumns count="3">
    <tableColumn id="1" xr3:uid="{00000000-0010-0000-0901-000001000000}" name="Column1"/>
    <tableColumn id="2" xr3:uid="{00000000-0010-0000-0901-000002000000}" name="Column2"/>
    <tableColumn id="3" xr3:uid="{00000000-0010-0000-0901-000003000000}" name="Column3"/>
  </tableColumns>
  <tableStyleInfo name="TG4 Current Shift -style 151" showFirstColumn="1" showLastColumn="1" showRowStripes="1" showColumnStripes="0"/>
</table>
</file>

<file path=xl/tables/table15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67" xr:uid="{00000000-000C-0000-FFFF-FFFF0A010000}" name="Table_267" displayName="Table_267" ref="S107:W109" headerRowCount="0">
  <tableColumns count="5">
    <tableColumn id="1" xr3:uid="{00000000-0010-0000-0A01-000001000000}" name="Column1"/>
    <tableColumn id="2" xr3:uid="{00000000-0010-0000-0A01-000002000000}" name="Column2"/>
    <tableColumn id="3" xr3:uid="{00000000-0010-0000-0A01-000003000000}" name="Column3"/>
    <tableColumn id="4" xr3:uid="{00000000-0010-0000-0A01-000004000000}" name="Column4"/>
    <tableColumn id="5" xr3:uid="{00000000-0010-0000-0A01-000005000000}" name="Column5"/>
  </tableColumns>
  <tableStyleInfo name="TG4 Current Shift -style 152" showFirstColumn="1" showLastColumn="1" showRowStripes="1" showColumnStripes="0"/>
</table>
</file>

<file path=xl/tables/table15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68" xr:uid="{00000000-000C-0000-FFFF-FFFF0B010000}" name="Table_268" displayName="Table_268" ref="X107:AA107" headerRowCount="0">
  <tableColumns count="4">
    <tableColumn id="1" xr3:uid="{00000000-0010-0000-0B01-000001000000}" name="Column1"/>
    <tableColumn id="2" xr3:uid="{00000000-0010-0000-0B01-000002000000}" name="Column2"/>
    <tableColumn id="3" xr3:uid="{00000000-0010-0000-0B01-000003000000}" name="Column3"/>
    <tableColumn id="4" xr3:uid="{00000000-0010-0000-0B01-000004000000}" name="Column4"/>
  </tableColumns>
  <tableStyleInfo name="TG4 Current Shift -style 153" showFirstColumn="1" showLastColumn="1" showRowStripes="1" showColumnStripes="0"/>
</table>
</file>

<file path=xl/tables/table15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69" xr:uid="{00000000-000C-0000-FFFF-FFFF0C010000}" name="Table_269" displayName="Table_269" ref="AC107:AE107" headerRowCount="0">
  <tableColumns count="3">
    <tableColumn id="1" xr3:uid="{00000000-0010-0000-0C01-000001000000}" name="Column1"/>
    <tableColumn id="2" xr3:uid="{00000000-0010-0000-0C01-000002000000}" name="Column2"/>
    <tableColumn id="3" xr3:uid="{00000000-0010-0000-0C01-000003000000}" name="Column3"/>
  </tableColumns>
  <tableStyleInfo name="TG4 Current Shift -style 154" showFirstColumn="1" showLastColumn="1" showRowStripes="1" showColumnStripes="0"/>
</table>
</file>

<file path=xl/tables/table15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70" xr:uid="{00000000-000C-0000-FFFF-FFFF0D010000}" name="Table_270" displayName="Table_270" ref="S122:U122" headerRowCount="0">
  <tableColumns count="3">
    <tableColumn id="1" xr3:uid="{00000000-0010-0000-0D01-000001000000}" name="Column1"/>
    <tableColumn id="2" xr3:uid="{00000000-0010-0000-0D01-000002000000}" name="Column2"/>
    <tableColumn id="3" xr3:uid="{00000000-0010-0000-0D01-000003000000}" name="Column3"/>
  </tableColumns>
  <tableStyleInfo name="TG4 Current Shift -style 155" showFirstColumn="1" showLastColumn="1" showRowStripes="1" showColumnStripes="0"/>
</table>
</file>

<file path=xl/tables/table15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71" xr:uid="{00000000-000C-0000-FFFF-FFFF0E010000}" name="Table_271" displayName="Table_271" ref="P129:R129" headerRowCount="0">
  <tableColumns count="3">
    <tableColumn id="1" xr3:uid="{00000000-0010-0000-0E01-000001000000}" name="Column1"/>
    <tableColumn id="2" xr3:uid="{00000000-0010-0000-0E01-000002000000}" name="Column2"/>
    <tableColumn id="3" xr3:uid="{00000000-0010-0000-0E01-000003000000}" name="Column3"/>
  </tableColumns>
  <tableStyleInfo name="TG4 Current Shift -style 156" showFirstColumn="1" showLastColumn="1" showRowStripes="1" showColumnStripes="0"/>
</table>
</file>

<file path=xl/tables/table15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72" xr:uid="{00000000-000C-0000-FFFF-FFFF0F010000}" name="Table_272" displayName="Table_272" ref="P130:Q131" headerRowCount="0">
  <tableColumns count="2">
    <tableColumn id="1" xr3:uid="{00000000-0010-0000-0F01-000001000000}" name="Column1"/>
    <tableColumn id="2" xr3:uid="{00000000-0010-0000-0F01-000002000000}" name="Column2"/>
  </tableColumns>
  <tableStyleInfo name="TG4 Current Shift -style 157" showFirstColumn="1" showLastColumn="1" showRowStripes="1" showColumnStripes="0"/>
</table>
</file>

<file path=xl/tables/table15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73" xr:uid="{00000000-000C-0000-FFFF-FFFF10010000}" name="Table_273" displayName="Table_273" ref="Z130:AA130" headerRowCount="0">
  <tableColumns count="2">
    <tableColumn id="1" xr3:uid="{00000000-0010-0000-1001-000001000000}" name="Column1"/>
    <tableColumn id="2" xr3:uid="{00000000-0010-0000-1001-000002000000}" name="Column2"/>
  </tableColumns>
  <tableStyleInfo name="TG4 Current Shift -style 158" showFirstColumn="1" showLastColumn="1" showRowStripes="1" showColumnStripes="0"/>
</table>
</file>

<file path=xl/tables/table15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74" xr:uid="{00000000-000C-0000-FFFF-FFFF11010000}" name="Table_274" displayName="Table_274" ref="F141:F143" headerRowCount="0">
  <tableColumns count="1">
    <tableColumn id="1" xr3:uid="{00000000-0010-0000-1101-000001000000}" name="Column1"/>
  </tableColumns>
  <tableStyleInfo name="TG4 Current Shift -style 159" showFirstColumn="1" showLastColumn="1" showRowStripes="1" showColumnStripes="0"/>
</table>
</file>

<file path=xl/tables/table16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75" xr:uid="{00000000-000C-0000-FFFF-FFFF12010000}" name="Table_275" displayName="Table_275" ref="P144:Q146" headerRowCount="0">
  <tableColumns count="2">
    <tableColumn id="1" xr3:uid="{00000000-0010-0000-1201-000001000000}" name="Column1"/>
    <tableColumn id="2" xr3:uid="{00000000-0010-0000-1201-000002000000}" name="Column2"/>
  </tableColumns>
  <tableStyleInfo name="TG4 Current Shift -style 160" showFirstColumn="1" showLastColumn="1" showRowStripes="1" showColumnStripes="0"/>
</table>
</file>

<file path=xl/tables/table16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76" xr:uid="{00000000-000C-0000-FFFF-FFFF13010000}" name="Table_276" displayName="Table_276" ref="Z146:AA146" headerRowCount="0">
  <tableColumns count="2">
    <tableColumn id="1" xr3:uid="{00000000-0010-0000-1301-000001000000}" name="Column1"/>
    <tableColumn id="2" xr3:uid="{00000000-0010-0000-1301-000002000000}" name="Column2"/>
  </tableColumns>
  <tableStyleInfo name="TG4 Current Shift -style 161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17" Type="http://schemas.openxmlformats.org/officeDocument/2006/relationships/table" Target="../tables/table117.xml"/><Relationship Id="rId21" Type="http://schemas.openxmlformats.org/officeDocument/2006/relationships/table" Target="../tables/table21.xml"/><Relationship Id="rId42" Type="http://schemas.openxmlformats.org/officeDocument/2006/relationships/table" Target="../tables/table42.xml"/><Relationship Id="rId63" Type="http://schemas.openxmlformats.org/officeDocument/2006/relationships/table" Target="../tables/table63.xml"/><Relationship Id="rId84" Type="http://schemas.openxmlformats.org/officeDocument/2006/relationships/table" Target="../tables/table84.xml"/><Relationship Id="rId138" Type="http://schemas.openxmlformats.org/officeDocument/2006/relationships/table" Target="../tables/table138.xml"/><Relationship Id="rId159" Type="http://schemas.openxmlformats.org/officeDocument/2006/relationships/table" Target="../tables/table159.xml"/><Relationship Id="rId107" Type="http://schemas.openxmlformats.org/officeDocument/2006/relationships/table" Target="../tables/table107.xml"/><Relationship Id="rId11" Type="http://schemas.openxmlformats.org/officeDocument/2006/relationships/table" Target="../tables/table11.xml"/><Relationship Id="rId32" Type="http://schemas.openxmlformats.org/officeDocument/2006/relationships/table" Target="../tables/table32.xml"/><Relationship Id="rId53" Type="http://schemas.openxmlformats.org/officeDocument/2006/relationships/table" Target="../tables/table53.xml"/><Relationship Id="rId74" Type="http://schemas.openxmlformats.org/officeDocument/2006/relationships/table" Target="../tables/table74.xml"/><Relationship Id="rId128" Type="http://schemas.openxmlformats.org/officeDocument/2006/relationships/table" Target="../tables/table128.xml"/><Relationship Id="rId149" Type="http://schemas.openxmlformats.org/officeDocument/2006/relationships/table" Target="../tables/table149.xml"/><Relationship Id="rId5" Type="http://schemas.openxmlformats.org/officeDocument/2006/relationships/table" Target="../tables/table5.xml"/><Relationship Id="rId95" Type="http://schemas.openxmlformats.org/officeDocument/2006/relationships/table" Target="../tables/table95.xml"/><Relationship Id="rId160" Type="http://schemas.openxmlformats.org/officeDocument/2006/relationships/table" Target="../tables/table160.xml"/><Relationship Id="rId22" Type="http://schemas.openxmlformats.org/officeDocument/2006/relationships/table" Target="../tables/table22.xml"/><Relationship Id="rId43" Type="http://schemas.openxmlformats.org/officeDocument/2006/relationships/table" Target="../tables/table43.xml"/><Relationship Id="rId64" Type="http://schemas.openxmlformats.org/officeDocument/2006/relationships/table" Target="../tables/table64.xml"/><Relationship Id="rId118" Type="http://schemas.openxmlformats.org/officeDocument/2006/relationships/table" Target="../tables/table118.xml"/><Relationship Id="rId139" Type="http://schemas.openxmlformats.org/officeDocument/2006/relationships/table" Target="../tables/table139.xml"/><Relationship Id="rId85" Type="http://schemas.openxmlformats.org/officeDocument/2006/relationships/table" Target="../tables/table85.xml"/><Relationship Id="rId150" Type="http://schemas.openxmlformats.org/officeDocument/2006/relationships/table" Target="../tables/table150.xml"/><Relationship Id="rId12" Type="http://schemas.openxmlformats.org/officeDocument/2006/relationships/table" Target="../tables/table12.xml"/><Relationship Id="rId17" Type="http://schemas.openxmlformats.org/officeDocument/2006/relationships/table" Target="../tables/table17.xml"/><Relationship Id="rId33" Type="http://schemas.openxmlformats.org/officeDocument/2006/relationships/table" Target="../tables/table33.xml"/><Relationship Id="rId38" Type="http://schemas.openxmlformats.org/officeDocument/2006/relationships/table" Target="../tables/table38.xml"/><Relationship Id="rId59" Type="http://schemas.openxmlformats.org/officeDocument/2006/relationships/table" Target="../tables/table59.xml"/><Relationship Id="rId103" Type="http://schemas.openxmlformats.org/officeDocument/2006/relationships/table" Target="../tables/table103.xml"/><Relationship Id="rId108" Type="http://schemas.openxmlformats.org/officeDocument/2006/relationships/table" Target="../tables/table108.xml"/><Relationship Id="rId124" Type="http://schemas.openxmlformats.org/officeDocument/2006/relationships/table" Target="../tables/table124.xml"/><Relationship Id="rId129" Type="http://schemas.openxmlformats.org/officeDocument/2006/relationships/table" Target="../tables/table129.xml"/><Relationship Id="rId54" Type="http://schemas.openxmlformats.org/officeDocument/2006/relationships/table" Target="../tables/table54.xml"/><Relationship Id="rId70" Type="http://schemas.openxmlformats.org/officeDocument/2006/relationships/table" Target="../tables/table70.xml"/><Relationship Id="rId75" Type="http://schemas.openxmlformats.org/officeDocument/2006/relationships/table" Target="../tables/table75.xml"/><Relationship Id="rId91" Type="http://schemas.openxmlformats.org/officeDocument/2006/relationships/table" Target="../tables/table91.xml"/><Relationship Id="rId96" Type="http://schemas.openxmlformats.org/officeDocument/2006/relationships/table" Target="../tables/table96.xml"/><Relationship Id="rId140" Type="http://schemas.openxmlformats.org/officeDocument/2006/relationships/table" Target="../tables/table140.xml"/><Relationship Id="rId145" Type="http://schemas.openxmlformats.org/officeDocument/2006/relationships/table" Target="../tables/table145.xml"/><Relationship Id="rId161" Type="http://schemas.openxmlformats.org/officeDocument/2006/relationships/table" Target="../tables/table161.xml"/><Relationship Id="rId1" Type="http://schemas.openxmlformats.org/officeDocument/2006/relationships/table" Target="../tables/table1.xml"/><Relationship Id="rId6" Type="http://schemas.openxmlformats.org/officeDocument/2006/relationships/table" Target="../tables/table6.xml"/><Relationship Id="rId23" Type="http://schemas.openxmlformats.org/officeDocument/2006/relationships/table" Target="../tables/table23.xml"/><Relationship Id="rId28" Type="http://schemas.openxmlformats.org/officeDocument/2006/relationships/table" Target="../tables/table28.xml"/><Relationship Id="rId49" Type="http://schemas.openxmlformats.org/officeDocument/2006/relationships/table" Target="../tables/table49.xml"/><Relationship Id="rId114" Type="http://schemas.openxmlformats.org/officeDocument/2006/relationships/table" Target="../tables/table114.xml"/><Relationship Id="rId119" Type="http://schemas.openxmlformats.org/officeDocument/2006/relationships/table" Target="../tables/table119.xml"/><Relationship Id="rId44" Type="http://schemas.openxmlformats.org/officeDocument/2006/relationships/table" Target="../tables/table44.xml"/><Relationship Id="rId60" Type="http://schemas.openxmlformats.org/officeDocument/2006/relationships/table" Target="../tables/table60.xml"/><Relationship Id="rId65" Type="http://schemas.openxmlformats.org/officeDocument/2006/relationships/table" Target="../tables/table65.xml"/><Relationship Id="rId81" Type="http://schemas.openxmlformats.org/officeDocument/2006/relationships/table" Target="../tables/table81.xml"/><Relationship Id="rId86" Type="http://schemas.openxmlformats.org/officeDocument/2006/relationships/table" Target="../tables/table86.xml"/><Relationship Id="rId130" Type="http://schemas.openxmlformats.org/officeDocument/2006/relationships/table" Target="../tables/table130.xml"/><Relationship Id="rId135" Type="http://schemas.openxmlformats.org/officeDocument/2006/relationships/table" Target="../tables/table135.xml"/><Relationship Id="rId151" Type="http://schemas.openxmlformats.org/officeDocument/2006/relationships/table" Target="../tables/table151.xml"/><Relationship Id="rId156" Type="http://schemas.openxmlformats.org/officeDocument/2006/relationships/table" Target="../tables/table156.xml"/><Relationship Id="rId13" Type="http://schemas.openxmlformats.org/officeDocument/2006/relationships/table" Target="../tables/table13.xml"/><Relationship Id="rId18" Type="http://schemas.openxmlformats.org/officeDocument/2006/relationships/table" Target="../tables/table18.xml"/><Relationship Id="rId39" Type="http://schemas.openxmlformats.org/officeDocument/2006/relationships/table" Target="../tables/table39.xml"/><Relationship Id="rId109" Type="http://schemas.openxmlformats.org/officeDocument/2006/relationships/table" Target="../tables/table109.xml"/><Relationship Id="rId34" Type="http://schemas.openxmlformats.org/officeDocument/2006/relationships/table" Target="../tables/table34.xml"/><Relationship Id="rId50" Type="http://schemas.openxmlformats.org/officeDocument/2006/relationships/table" Target="../tables/table50.xml"/><Relationship Id="rId55" Type="http://schemas.openxmlformats.org/officeDocument/2006/relationships/table" Target="../tables/table55.xml"/><Relationship Id="rId76" Type="http://schemas.openxmlformats.org/officeDocument/2006/relationships/table" Target="../tables/table76.xml"/><Relationship Id="rId97" Type="http://schemas.openxmlformats.org/officeDocument/2006/relationships/table" Target="../tables/table97.xml"/><Relationship Id="rId104" Type="http://schemas.openxmlformats.org/officeDocument/2006/relationships/table" Target="../tables/table104.xml"/><Relationship Id="rId120" Type="http://schemas.openxmlformats.org/officeDocument/2006/relationships/table" Target="../tables/table120.xml"/><Relationship Id="rId125" Type="http://schemas.openxmlformats.org/officeDocument/2006/relationships/table" Target="../tables/table125.xml"/><Relationship Id="rId141" Type="http://schemas.openxmlformats.org/officeDocument/2006/relationships/table" Target="../tables/table141.xml"/><Relationship Id="rId146" Type="http://schemas.openxmlformats.org/officeDocument/2006/relationships/table" Target="../tables/table146.xml"/><Relationship Id="rId7" Type="http://schemas.openxmlformats.org/officeDocument/2006/relationships/table" Target="../tables/table7.xml"/><Relationship Id="rId71" Type="http://schemas.openxmlformats.org/officeDocument/2006/relationships/table" Target="../tables/table71.xml"/><Relationship Id="rId92" Type="http://schemas.openxmlformats.org/officeDocument/2006/relationships/table" Target="../tables/table92.xml"/><Relationship Id="rId2" Type="http://schemas.openxmlformats.org/officeDocument/2006/relationships/table" Target="../tables/table2.xml"/><Relationship Id="rId29" Type="http://schemas.openxmlformats.org/officeDocument/2006/relationships/table" Target="../tables/table29.xml"/><Relationship Id="rId24" Type="http://schemas.openxmlformats.org/officeDocument/2006/relationships/table" Target="../tables/table24.xml"/><Relationship Id="rId40" Type="http://schemas.openxmlformats.org/officeDocument/2006/relationships/table" Target="../tables/table40.xml"/><Relationship Id="rId45" Type="http://schemas.openxmlformats.org/officeDocument/2006/relationships/table" Target="../tables/table45.xml"/><Relationship Id="rId66" Type="http://schemas.openxmlformats.org/officeDocument/2006/relationships/table" Target="../tables/table66.xml"/><Relationship Id="rId87" Type="http://schemas.openxmlformats.org/officeDocument/2006/relationships/table" Target="../tables/table87.xml"/><Relationship Id="rId110" Type="http://schemas.openxmlformats.org/officeDocument/2006/relationships/table" Target="../tables/table110.xml"/><Relationship Id="rId115" Type="http://schemas.openxmlformats.org/officeDocument/2006/relationships/table" Target="../tables/table115.xml"/><Relationship Id="rId131" Type="http://schemas.openxmlformats.org/officeDocument/2006/relationships/table" Target="../tables/table131.xml"/><Relationship Id="rId136" Type="http://schemas.openxmlformats.org/officeDocument/2006/relationships/table" Target="../tables/table136.xml"/><Relationship Id="rId157" Type="http://schemas.openxmlformats.org/officeDocument/2006/relationships/table" Target="../tables/table157.xml"/><Relationship Id="rId61" Type="http://schemas.openxmlformats.org/officeDocument/2006/relationships/table" Target="../tables/table61.xml"/><Relationship Id="rId82" Type="http://schemas.openxmlformats.org/officeDocument/2006/relationships/table" Target="../tables/table82.xml"/><Relationship Id="rId152" Type="http://schemas.openxmlformats.org/officeDocument/2006/relationships/table" Target="../tables/table152.xml"/><Relationship Id="rId19" Type="http://schemas.openxmlformats.org/officeDocument/2006/relationships/table" Target="../tables/table19.xml"/><Relationship Id="rId14" Type="http://schemas.openxmlformats.org/officeDocument/2006/relationships/table" Target="../tables/table14.xml"/><Relationship Id="rId30" Type="http://schemas.openxmlformats.org/officeDocument/2006/relationships/table" Target="../tables/table30.xml"/><Relationship Id="rId35" Type="http://schemas.openxmlformats.org/officeDocument/2006/relationships/table" Target="../tables/table35.xml"/><Relationship Id="rId56" Type="http://schemas.openxmlformats.org/officeDocument/2006/relationships/table" Target="../tables/table56.xml"/><Relationship Id="rId77" Type="http://schemas.openxmlformats.org/officeDocument/2006/relationships/table" Target="../tables/table77.xml"/><Relationship Id="rId100" Type="http://schemas.openxmlformats.org/officeDocument/2006/relationships/table" Target="../tables/table100.xml"/><Relationship Id="rId105" Type="http://schemas.openxmlformats.org/officeDocument/2006/relationships/table" Target="../tables/table105.xml"/><Relationship Id="rId126" Type="http://schemas.openxmlformats.org/officeDocument/2006/relationships/table" Target="../tables/table126.xml"/><Relationship Id="rId147" Type="http://schemas.openxmlformats.org/officeDocument/2006/relationships/table" Target="../tables/table147.xml"/><Relationship Id="rId8" Type="http://schemas.openxmlformats.org/officeDocument/2006/relationships/table" Target="../tables/table8.xml"/><Relationship Id="rId51" Type="http://schemas.openxmlformats.org/officeDocument/2006/relationships/table" Target="../tables/table51.xml"/><Relationship Id="rId72" Type="http://schemas.openxmlformats.org/officeDocument/2006/relationships/table" Target="../tables/table72.xml"/><Relationship Id="rId93" Type="http://schemas.openxmlformats.org/officeDocument/2006/relationships/table" Target="../tables/table93.xml"/><Relationship Id="rId98" Type="http://schemas.openxmlformats.org/officeDocument/2006/relationships/table" Target="../tables/table98.xml"/><Relationship Id="rId121" Type="http://schemas.openxmlformats.org/officeDocument/2006/relationships/table" Target="../tables/table121.xml"/><Relationship Id="rId142" Type="http://schemas.openxmlformats.org/officeDocument/2006/relationships/table" Target="../tables/table142.xml"/><Relationship Id="rId3" Type="http://schemas.openxmlformats.org/officeDocument/2006/relationships/table" Target="../tables/table3.xml"/><Relationship Id="rId25" Type="http://schemas.openxmlformats.org/officeDocument/2006/relationships/table" Target="../tables/table25.xml"/><Relationship Id="rId46" Type="http://schemas.openxmlformats.org/officeDocument/2006/relationships/table" Target="../tables/table46.xml"/><Relationship Id="rId67" Type="http://schemas.openxmlformats.org/officeDocument/2006/relationships/table" Target="../tables/table67.xml"/><Relationship Id="rId116" Type="http://schemas.openxmlformats.org/officeDocument/2006/relationships/table" Target="../tables/table116.xml"/><Relationship Id="rId137" Type="http://schemas.openxmlformats.org/officeDocument/2006/relationships/table" Target="../tables/table137.xml"/><Relationship Id="rId158" Type="http://schemas.openxmlformats.org/officeDocument/2006/relationships/table" Target="../tables/table158.xml"/><Relationship Id="rId20" Type="http://schemas.openxmlformats.org/officeDocument/2006/relationships/table" Target="../tables/table20.xml"/><Relationship Id="rId41" Type="http://schemas.openxmlformats.org/officeDocument/2006/relationships/table" Target="../tables/table41.xml"/><Relationship Id="rId62" Type="http://schemas.openxmlformats.org/officeDocument/2006/relationships/table" Target="../tables/table62.xml"/><Relationship Id="rId83" Type="http://schemas.openxmlformats.org/officeDocument/2006/relationships/table" Target="../tables/table83.xml"/><Relationship Id="rId88" Type="http://schemas.openxmlformats.org/officeDocument/2006/relationships/table" Target="../tables/table88.xml"/><Relationship Id="rId111" Type="http://schemas.openxmlformats.org/officeDocument/2006/relationships/table" Target="../tables/table111.xml"/><Relationship Id="rId132" Type="http://schemas.openxmlformats.org/officeDocument/2006/relationships/table" Target="../tables/table132.xml"/><Relationship Id="rId153" Type="http://schemas.openxmlformats.org/officeDocument/2006/relationships/table" Target="../tables/table153.xml"/><Relationship Id="rId15" Type="http://schemas.openxmlformats.org/officeDocument/2006/relationships/table" Target="../tables/table15.xml"/><Relationship Id="rId36" Type="http://schemas.openxmlformats.org/officeDocument/2006/relationships/table" Target="../tables/table36.xml"/><Relationship Id="rId57" Type="http://schemas.openxmlformats.org/officeDocument/2006/relationships/table" Target="../tables/table57.xml"/><Relationship Id="rId106" Type="http://schemas.openxmlformats.org/officeDocument/2006/relationships/table" Target="../tables/table106.xml"/><Relationship Id="rId127" Type="http://schemas.openxmlformats.org/officeDocument/2006/relationships/table" Target="../tables/table127.xml"/><Relationship Id="rId10" Type="http://schemas.openxmlformats.org/officeDocument/2006/relationships/table" Target="../tables/table10.xml"/><Relationship Id="rId31" Type="http://schemas.openxmlformats.org/officeDocument/2006/relationships/table" Target="../tables/table31.xml"/><Relationship Id="rId52" Type="http://schemas.openxmlformats.org/officeDocument/2006/relationships/table" Target="../tables/table52.xml"/><Relationship Id="rId73" Type="http://schemas.openxmlformats.org/officeDocument/2006/relationships/table" Target="../tables/table73.xml"/><Relationship Id="rId78" Type="http://schemas.openxmlformats.org/officeDocument/2006/relationships/table" Target="../tables/table78.xml"/><Relationship Id="rId94" Type="http://schemas.openxmlformats.org/officeDocument/2006/relationships/table" Target="../tables/table94.xml"/><Relationship Id="rId99" Type="http://schemas.openxmlformats.org/officeDocument/2006/relationships/table" Target="../tables/table99.xml"/><Relationship Id="rId101" Type="http://schemas.openxmlformats.org/officeDocument/2006/relationships/table" Target="../tables/table101.xml"/><Relationship Id="rId122" Type="http://schemas.openxmlformats.org/officeDocument/2006/relationships/table" Target="../tables/table122.xml"/><Relationship Id="rId143" Type="http://schemas.openxmlformats.org/officeDocument/2006/relationships/table" Target="../tables/table143.xml"/><Relationship Id="rId148" Type="http://schemas.openxmlformats.org/officeDocument/2006/relationships/table" Target="../tables/table148.xml"/><Relationship Id="rId4" Type="http://schemas.openxmlformats.org/officeDocument/2006/relationships/table" Target="../tables/table4.xml"/><Relationship Id="rId9" Type="http://schemas.openxmlformats.org/officeDocument/2006/relationships/table" Target="../tables/table9.xml"/><Relationship Id="rId26" Type="http://schemas.openxmlformats.org/officeDocument/2006/relationships/table" Target="../tables/table26.xml"/><Relationship Id="rId47" Type="http://schemas.openxmlformats.org/officeDocument/2006/relationships/table" Target="../tables/table47.xml"/><Relationship Id="rId68" Type="http://schemas.openxmlformats.org/officeDocument/2006/relationships/table" Target="../tables/table68.xml"/><Relationship Id="rId89" Type="http://schemas.openxmlformats.org/officeDocument/2006/relationships/table" Target="../tables/table89.xml"/><Relationship Id="rId112" Type="http://schemas.openxmlformats.org/officeDocument/2006/relationships/table" Target="../tables/table112.xml"/><Relationship Id="rId133" Type="http://schemas.openxmlformats.org/officeDocument/2006/relationships/table" Target="../tables/table133.xml"/><Relationship Id="rId154" Type="http://schemas.openxmlformats.org/officeDocument/2006/relationships/table" Target="../tables/table154.xml"/><Relationship Id="rId16" Type="http://schemas.openxmlformats.org/officeDocument/2006/relationships/table" Target="../tables/table16.xml"/><Relationship Id="rId37" Type="http://schemas.openxmlformats.org/officeDocument/2006/relationships/table" Target="../tables/table37.xml"/><Relationship Id="rId58" Type="http://schemas.openxmlformats.org/officeDocument/2006/relationships/table" Target="../tables/table58.xml"/><Relationship Id="rId79" Type="http://schemas.openxmlformats.org/officeDocument/2006/relationships/table" Target="../tables/table79.xml"/><Relationship Id="rId102" Type="http://schemas.openxmlformats.org/officeDocument/2006/relationships/table" Target="../tables/table102.xml"/><Relationship Id="rId123" Type="http://schemas.openxmlformats.org/officeDocument/2006/relationships/table" Target="../tables/table123.xml"/><Relationship Id="rId144" Type="http://schemas.openxmlformats.org/officeDocument/2006/relationships/table" Target="../tables/table144.xml"/><Relationship Id="rId90" Type="http://schemas.openxmlformats.org/officeDocument/2006/relationships/table" Target="../tables/table90.xml"/><Relationship Id="rId27" Type="http://schemas.openxmlformats.org/officeDocument/2006/relationships/table" Target="../tables/table27.xml"/><Relationship Id="rId48" Type="http://schemas.openxmlformats.org/officeDocument/2006/relationships/table" Target="../tables/table48.xml"/><Relationship Id="rId69" Type="http://schemas.openxmlformats.org/officeDocument/2006/relationships/table" Target="../tables/table69.xml"/><Relationship Id="rId113" Type="http://schemas.openxmlformats.org/officeDocument/2006/relationships/table" Target="../tables/table113.xml"/><Relationship Id="rId134" Type="http://schemas.openxmlformats.org/officeDocument/2006/relationships/table" Target="../tables/table134.xml"/><Relationship Id="rId80" Type="http://schemas.openxmlformats.org/officeDocument/2006/relationships/table" Target="../tables/table80.xml"/><Relationship Id="rId155" Type="http://schemas.openxmlformats.org/officeDocument/2006/relationships/table" Target="../tables/table15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1000"/>
  <sheetViews>
    <sheetView workbookViewId="0"/>
  </sheetViews>
  <sheetFormatPr defaultColWidth="14.44140625" defaultRowHeight="15" customHeight="1"/>
  <cols>
    <col min="1" max="1" width="8.5546875" customWidth="1"/>
    <col min="2" max="2" width="52.88671875" customWidth="1"/>
    <col min="3" max="3" width="18" customWidth="1"/>
    <col min="4" max="4" width="8.6640625" customWidth="1"/>
    <col min="5" max="5" width="15.88671875" customWidth="1"/>
    <col min="6" max="6" width="9.88671875" customWidth="1"/>
    <col min="7" max="7" width="18.109375" customWidth="1"/>
    <col min="8" max="8" width="23.33203125" customWidth="1"/>
    <col min="9" max="9" width="19.33203125" customWidth="1"/>
    <col min="10" max="10" width="8.6640625" customWidth="1"/>
    <col min="11" max="11" width="10.44140625" customWidth="1"/>
    <col min="12" max="12" width="26.5546875" customWidth="1"/>
    <col min="13" max="26" width="8.6640625" customWidth="1"/>
  </cols>
  <sheetData>
    <row r="1" spans="1:12" ht="26.4">
      <c r="A1" s="1" t="s">
        <v>169</v>
      </c>
      <c r="B1" s="1" t="s">
        <v>1</v>
      </c>
      <c r="C1" s="1" t="s">
        <v>170</v>
      </c>
      <c r="D1" s="2" t="s">
        <v>2</v>
      </c>
      <c r="E1" s="3" t="s">
        <v>3</v>
      </c>
      <c r="F1" s="3" t="s">
        <v>4</v>
      </c>
      <c r="G1" s="3" t="s">
        <v>171</v>
      </c>
      <c r="H1" s="3" t="s">
        <v>6</v>
      </c>
      <c r="I1" s="4" t="s">
        <v>7</v>
      </c>
      <c r="J1" s="4" t="s">
        <v>4</v>
      </c>
      <c r="K1" s="4" t="s">
        <v>5</v>
      </c>
      <c r="L1" s="4" t="s">
        <v>6</v>
      </c>
    </row>
    <row r="2" spans="1:12" ht="14.4">
      <c r="A2" s="12" t="s">
        <v>104</v>
      </c>
      <c r="B2" s="8" t="s">
        <v>105</v>
      </c>
      <c r="C2" s="8" t="s">
        <v>172</v>
      </c>
      <c r="D2" s="9">
        <v>1</v>
      </c>
      <c r="E2" s="6" t="s">
        <v>106</v>
      </c>
      <c r="F2" s="6">
        <v>302337</v>
      </c>
      <c r="G2" s="7">
        <v>45811</v>
      </c>
      <c r="H2" s="7">
        <v>45815</v>
      </c>
      <c r="I2" s="22" t="s">
        <v>173</v>
      </c>
      <c r="J2" s="22">
        <v>301309</v>
      </c>
      <c r="K2" s="23">
        <v>45661</v>
      </c>
      <c r="L2" s="23">
        <v>45667</v>
      </c>
    </row>
    <row r="3" spans="1:12" ht="14.4">
      <c r="A3" s="12" t="s">
        <v>104</v>
      </c>
      <c r="B3" s="184" t="s">
        <v>107</v>
      </c>
      <c r="C3" s="184" t="s">
        <v>172</v>
      </c>
      <c r="D3" s="185">
        <v>2</v>
      </c>
      <c r="E3" s="6" t="s">
        <v>18</v>
      </c>
      <c r="F3" s="6">
        <v>265267</v>
      </c>
      <c r="G3" s="7">
        <v>45741</v>
      </c>
      <c r="H3" s="7">
        <v>45790</v>
      </c>
      <c r="I3" s="22" t="s">
        <v>174</v>
      </c>
      <c r="J3" s="22">
        <v>301310</v>
      </c>
      <c r="K3" s="23">
        <v>45662</v>
      </c>
      <c r="L3" s="23">
        <v>45668</v>
      </c>
    </row>
    <row r="4" spans="1:12" ht="14.4">
      <c r="A4" s="12"/>
      <c r="B4" s="183"/>
      <c r="C4" s="183"/>
      <c r="D4" s="183"/>
      <c r="E4" s="6" t="s">
        <v>175</v>
      </c>
      <c r="F4" s="6">
        <v>259705</v>
      </c>
      <c r="G4" s="7">
        <v>45734</v>
      </c>
      <c r="H4" s="7">
        <v>45832</v>
      </c>
      <c r="I4" s="22" t="s">
        <v>176</v>
      </c>
      <c r="J4" s="22">
        <v>301311</v>
      </c>
      <c r="K4" s="23">
        <v>45663</v>
      </c>
      <c r="L4" s="23">
        <v>45669</v>
      </c>
    </row>
    <row r="5" spans="1:12" ht="14.4">
      <c r="A5" s="12" t="s">
        <v>104</v>
      </c>
      <c r="B5" s="8" t="s">
        <v>108</v>
      </c>
      <c r="C5" s="8" t="s">
        <v>172</v>
      </c>
      <c r="D5" s="9">
        <v>1</v>
      </c>
      <c r="E5" s="6" t="s">
        <v>109</v>
      </c>
      <c r="F5" s="6">
        <v>274647</v>
      </c>
      <c r="G5" s="7">
        <v>45761</v>
      </c>
      <c r="H5" s="7">
        <v>45821</v>
      </c>
      <c r="I5" s="22" t="s">
        <v>177</v>
      </c>
      <c r="J5" s="22">
        <v>301312</v>
      </c>
      <c r="K5" s="23">
        <v>45664</v>
      </c>
      <c r="L5" s="23">
        <v>45670</v>
      </c>
    </row>
    <row r="6" spans="1:12" ht="14.4">
      <c r="A6" s="12" t="s">
        <v>104</v>
      </c>
      <c r="B6" s="5" t="s">
        <v>110</v>
      </c>
      <c r="C6" s="5" t="s">
        <v>178</v>
      </c>
      <c r="D6" s="5">
        <v>1</v>
      </c>
      <c r="E6" s="6" t="s">
        <v>111</v>
      </c>
      <c r="F6" s="6">
        <v>272692</v>
      </c>
      <c r="G6" s="7">
        <v>45756</v>
      </c>
      <c r="H6" s="7">
        <v>45813</v>
      </c>
      <c r="I6" s="22" t="s">
        <v>179</v>
      </c>
      <c r="J6" s="22">
        <v>301313</v>
      </c>
      <c r="K6" s="23">
        <v>45665</v>
      </c>
      <c r="L6" s="23">
        <v>45671</v>
      </c>
    </row>
    <row r="7" spans="1:12" ht="14.4">
      <c r="A7" s="12" t="s">
        <v>104</v>
      </c>
      <c r="B7" s="5" t="s">
        <v>112</v>
      </c>
      <c r="C7" s="5" t="s">
        <v>178</v>
      </c>
      <c r="D7" s="5">
        <v>1</v>
      </c>
      <c r="E7" s="6" t="s">
        <v>113</v>
      </c>
      <c r="F7" s="6">
        <v>268067</v>
      </c>
      <c r="G7" s="7">
        <v>45748</v>
      </c>
      <c r="H7" s="7">
        <v>45766</v>
      </c>
      <c r="I7" s="22" t="s">
        <v>180</v>
      </c>
      <c r="J7" s="22">
        <v>301314</v>
      </c>
      <c r="K7" s="23">
        <v>45666</v>
      </c>
      <c r="L7" s="23">
        <v>45672</v>
      </c>
    </row>
    <row r="8" spans="1:12" ht="14.4">
      <c r="A8" s="12" t="s">
        <v>104</v>
      </c>
      <c r="B8" s="5" t="s">
        <v>114</v>
      </c>
      <c r="C8" s="5" t="s">
        <v>178</v>
      </c>
      <c r="D8" s="5">
        <v>1</v>
      </c>
      <c r="E8" s="6" t="s">
        <v>115</v>
      </c>
      <c r="F8" s="6">
        <v>260446</v>
      </c>
      <c r="G8" s="7">
        <v>45735</v>
      </c>
      <c r="H8" s="7">
        <v>45832</v>
      </c>
      <c r="I8" s="22" t="s">
        <v>181</v>
      </c>
      <c r="J8" s="22">
        <v>301315</v>
      </c>
      <c r="K8" s="23">
        <v>45667</v>
      </c>
      <c r="L8" s="23">
        <v>45673</v>
      </c>
    </row>
    <row r="9" spans="1:12" ht="14.4">
      <c r="A9" s="12" t="s">
        <v>104</v>
      </c>
      <c r="B9" s="8" t="s">
        <v>116</v>
      </c>
      <c r="C9" s="8" t="s">
        <v>172</v>
      </c>
      <c r="D9" s="9">
        <v>1</v>
      </c>
      <c r="E9" s="6" t="s">
        <v>90</v>
      </c>
      <c r="F9" s="6">
        <v>268757</v>
      </c>
      <c r="G9" s="7">
        <v>45748</v>
      </c>
      <c r="H9" s="7">
        <v>45824</v>
      </c>
      <c r="I9" s="22" t="s">
        <v>182</v>
      </c>
      <c r="J9" s="22">
        <v>301316</v>
      </c>
      <c r="K9" s="23">
        <v>45668</v>
      </c>
      <c r="L9" s="23">
        <v>45674</v>
      </c>
    </row>
    <row r="10" spans="1:12" ht="14.4">
      <c r="A10" s="12" t="s">
        <v>104</v>
      </c>
      <c r="B10" s="5" t="s">
        <v>117</v>
      </c>
      <c r="C10" s="5" t="s">
        <v>178</v>
      </c>
      <c r="D10" s="5">
        <v>1</v>
      </c>
      <c r="E10" s="6" t="s">
        <v>118</v>
      </c>
      <c r="F10" s="6">
        <v>301292</v>
      </c>
      <c r="G10" s="7">
        <v>45810</v>
      </c>
      <c r="H10" s="7">
        <v>45818</v>
      </c>
      <c r="I10" s="22" t="s">
        <v>183</v>
      </c>
      <c r="J10" s="22">
        <v>301317</v>
      </c>
      <c r="K10" s="23">
        <v>45669</v>
      </c>
      <c r="L10" s="23">
        <v>45675</v>
      </c>
    </row>
    <row r="11" spans="1:12" ht="14.4">
      <c r="A11" s="12" t="s">
        <v>104</v>
      </c>
      <c r="B11" s="5" t="s">
        <v>119</v>
      </c>
      <c r="C11" s="5" t="s">
        <v>178</v>
      </c>
      <c r="D11" s="5">
        <v>1</v>
      </c>
      <c r="E11" s="6" t="s">
        <v>78</v>
      </c>
      <c r="F11" s="6">
        <v>288014</v>
      </c>
      <c r="G11" s="7">
        <v>45786</v>
      </c>
      <c r="H11" s="7">
        <v>45813</v>
      </c>
      <c r="I11" s="22" t="s">
        <v>184</v>
      </c>
      <c r="J11" s="22">
        <v>301318</v>
      </c>
      <c r="K11" s="23">
        <v>45670</v>
      </c>
      <c r="L11" s="23">
        <v>45676</v>
      </c>
    </row>
    <row r="12" spans="1:12" ht="14.4">
      <c r="A12" s="12" t="s">
        <v>104</v>
      </c>
      <c r="B12" s="5" t="s">
        <v>120</v>
      </c>
      <c r="C12" s="5" t="s">
        <v>178</v>
      </c>
      <c r="D12" s="5">
        <v>1</v>
      </c>
      <c r="E12" s="6" t="s">
        <v>185</v>
      </c>
      <c r="F12" s="6">
        <v>170695</v>
      </c>
      <c r="G12" s="7">
        <v>45492</v>
      </c>
      <c r="H12" s="7">
        <v>45832</v>
      </c>
      <c r="I12" s="22" t="s">
        <v>186</v>
      </c>
      <c r="J12" s="22">
        <v>301319</v>
      </c>
      <c r="K12" s="23">
        <v>45671</v>
      </c>
      <c r="L12" s="23">
        <v>45677</v>
      </c>
    </row>
    <row r="13" spans="1:12" ht="14.4">
      <c r="A13" s="12" t="s">
        <v>104</v>
      </c>
      <c r="B13" s="5" t="s">
        <v>121</v>
      </c>
      <c r="C13" s="5" t="s">
        <v>178</v>
      </c>
      <c r="D13" s="5">
        <v>1</v>
      </c>
      <c r="E13" s="6" t="s">
        <v>122</v>
      </c>
      <c r="F13" s="6">
        <v>272685</v>
      </c>
      <c r="G13" s="7">
        <v>45756</v>
      </c>
      <c r="H13" s="7">
        <v>45780</v>
      </c>
      <c r="I13" s="22" t="s">
        <v>187</v>
      </c>
      <c r="J13" s="22">
        <v>301320</v>
      </c>
      <c r="K13" s="23">
        <v>45672</v>
      </c>
      <c r="L13" s="23">
        <v>45678</v>
      </c>
    </row>
    <row r="14" spans="1:12" ht="14.4">
      <c r="A14" s="12" t="s">
        <v>104</v>
      </c>
      <c r="B14" s="5" t="s">
        <v>123</v>
      </c>
      <c r="C14" s="5" t="s">
        <v>178</v>
      </c>
      <c r="D14" s="5">
        <v>1</v>
      </c>
      <c r="E14" s="6" t="s">
        <v>124</v>
      </c>
      <c r="F14" s="6">
        <v>185601</v>
      </c>
      <c r="G14" s="7">
        <v>45520</v>
      </c>
      <c r="H14" s="7">
        <v>45832</v>
      </c>
      <c r="I14" s="22" t="s">
        <v>188</v>
      </c>
      <c r="J14" s="22">
        <v>301321</v>
      </c>
      <c r="K14" s="23">
        <v>45673</v>
      </c>
      <c r="L14" s="23">
        <v>45679</v>
      </c>
    </row>
    <row r="15" spans="1:12" ht="14.4">
      <c r="A15" s="12" t="s">
        <v>104</v>
      </c>
      <c r="B15" s="8" t="s">
        <v>125</v>
      </c>
      <c r="C15" s="8" t="s">
        <v>172</v>
      </c>
      <c r="D15" s="9">
        <v>1</v>
      </c>
      <c r="E15" s="6" t="s">
        <v>126</v>
      </c>
      <c r="F15" s="6">
        <v>268135</v>
      </c>
      <c r="G15" s="7">
        <v>45748</v>
      </c>
      <c r="H15" s="7">
        <v>45753</v>
      </c>
      <c r="I15" s="22" t="s">
        <v>189</v>
      </c>
      <c r="J15" s="22">
        <v>301322</v>
      </c>
      <c r="K15" s="23">
        <v>45674</v>
      </c>
      <c r="L15" s="23">
        <v>45680</v>
      </c>
    </row>
    <row r="16" spans="1:12" ht="14.4">
      <c r="A16" s="12" t="s">
        <v>104</v>
      </c>
      <c r="B16" s="5" t="s">
        <v>127</v>
      </c>
      <c r="C16" s="5" t="s">
        <v>178</v>
      </c>
      <c r="D16" s="5">
        <v>1</v>
      </c>
      <c r="E16" s="6" t="s">
        <v>54</v>
      </c>
      <c r="F16" s="6">
        <v>258752</v>
      </c>
      <c r="G16" s="7">
        <v>45733</v>
      </c>
      <c r="H16" s="7">
        <v>45832</v>
      </c>
      <c r="I16" s="22" t="s">
        <v>190</v>
      </c>
      <c r="J16" s="22">
        <v>301323</v>
      </c>
      <c r="K16" s="23">
        <v>45675</v>
      </c>
      <c r="L16" s="23">
        <v>45681</v>
      </c>
    </row>
    <row r="17" spans="1:12" ht="14.4">
      <c r="A17" s="12" t="s">
        <v>104</v>
      </c>
      <c r="B17" s="5" t="s">
        <v>128</v>
      </c>
      <c r="C17" s="5" t="s">
        <v>178</v>
      </c>
      <c r="D17" s="5">
        <v>1</v>
      </c>
      <c r="E17" s="6" t="s">
        <v>129</v>
      </c>
      <c r="F17" s="6">
        <v>302341</v>
      </c>
      <c r="G17" s="7">
        <v>45811</v>
      </c>
      <c r="H17" s="7">
        <v>45837</v>
      </c>
      <c r="I17" s="22" t="s">
        <v>191</v>
      </c>
      <c r="J17" s="22">
        <v>301324</v>
      </c>
      <c r="K17" s="23">
        <v>45676</v>
      </c>
      <c r="L17" s="23">
        <v>45682</v>
      </c>
    </row>
    <row r="18" spans="1:12" ht="14.4">
      <c r="A18" s="12" t="s">
        <v>104</v>
      </c>
      <c r="B18" s="5" t="s">
        <v>130</v>
      </c>
      <c r="C18" s="5" t="s">
        <v>178</v>
      </c>
      <c r="D18" s="5">
        <v>1</v>
      </c>
      <c r="E18" s="6" t="s">
        <v>131</v>
      </c>
      <c r="F18" s="6">
        <v>234919</v>
      </c>
      <c r="G18" s="7">
        <v>45674</v>
      </c>
      <c r="H18" s="7">
        <v>45832</v>
      </c>
      <c r="I18" s="22" t="s">
        <v>192</v>
      </c>
      <c r="J18" s="22">
        <v>301325</v>
      </c>
      <c r="K18" s="23">
        <v>45677</v>
      </c>
      <c r="L18" s="23">
        <v>45683</v>
      </c>
    </row>
    <row r="19" spans="1:12" ht="14.4">
      <c r="A19" s="12" t="s">
        <v>104</v>
      </c>
      <c r="B19" s="5" t="s">
        <v>132</v>
      </c>
      <c r="C19" s="5" t="s">
        <v>178</v>
      </c>
      <c r="D19" s="5">
        <v>1</v>
      </c>
      <c r="E19" s="6" t="s">
        <v>133</v>
      </c>
      <c r="F19" s="6">
        <v>259664</v>
      </c>
      <c r="G19" s="7">
        <v>45734</v>
      </c>
      <c r="H19" s="7">
        <v>45832</v>
      </c>
      <c r="I19" s="22" t="s">
        <v>193</v>
      </c>
      <c r="J19" s="22">
        <v>301326</v>
      </c>
      <c r="K19" s="23">
        <v>45678</v>
      </c>
      <c r="L19" s="23">
        <v>45684</v>
      </c>
    </row>
    <row r="20" spans="1:12" ht="14.4">
      <c r="A20" s="12" t="s">
        <v>104</v>
      </c>
      <c r="B20" s="8" t="s">
        <v>134</v>
      </c>
      <c r="C20" s="8" t="s">
        <v>172</v>
      </c>
      <c r="D20" s="9">
        <v>1</v>
      </c>
      <c r="E20" s="6" t="s">
        <v>54</v>
      </c>
      <c r="F20" s="6">
        <v>233821</v>
      </c>
      <c r="G20" s="7">
        <v>45666</v>
      </c>
      <c r="H20" s="7">
        <v>45768</v>
      </c>
      <c r="I20" s="22" t="s">
        <v>194</v>
      </c>
      <c r="J20" s="22">
        <v>301327</v>
      </c>
      <c r="K20" s="23">
        <v>45679</v>
      </c>
      <c r="L20" s="23">
        <v>45685</v>
      </c>
    </row>
    <row r="21" spans="1:12" ht="15.75" customHeight="1">
      <c r="A21" s="12" t="s">
        <v>104</v>
      </c>
      <c r="B21" s="8" t="s">
        <v>135</v>
      </c>
      <c r="C21" s="8" t="s">
        <v>172</v>
      </c>
      <c r="D21" s="9">
        <v>1</v>
      </c>
      <c r="E21" s="6" t="s">
        <v>53</v>
      </c>
      <c r="F21" s="6">
        <v>237001</v>
      </c>
      <c r="G21" s="7">
        <v>45674</v>
      </c>
      <c r="H21" s="7">
        <v>45832</v>
      </c>
      <c r="I21" s="22" t="s">
        <v>195</v>
      </c>
      <c r="J21" s="22">
        <v>301328</v>
      </c>
      <c r="K21" s="23">
        <v>45680</v>
      </c>
      <c r="L21" s="23">
        <v>45686</v>
      </c>
    </row>
    <row r="22" spans="1:12" ht="15.75" customHeight="1">
      <c r="A22" s="12" t="s">
        <v>104</v>
      </c>
      <c r="B22" s="5" t="s">
        <v>136</v>
      </c>
      <c r="C22" s="5" t="s">
        <v>178</v>
      </c>
      <c r="D22" s="5">
        <v>1</v>
      </c>
      <c r="E22" s="6" t="s">
        <v>70</v>
      </c>
      <c r="F22" s="6">
        <v>182051</v>
      </c>
      <c r="G22" s="7">
        <v>45513</v>
      </c>
      <c r="H22" s="7">
        <v>45832</v>
      </c>
      <c r="I22" s="22" t="s">
        <v>196</v>
      </c>
      <c r="J22" s="22">
        <v>301329</v>
      </c>
      <c r="K22" s="23">
        <v>45681</v>
      </c>
      <c r="L22" s="23">
        <v>45687</v>
      </c>
    </row>
    <row r="23" spans="1:12" ht="15.75" customHeight="1">
      <c r="A23" s="12" t="s">
        <v>104</v>
      </c>
      <c r="B23" s="5" t="s">
        <v>137</v>
      </c>
      <c r="C23" s="5" t="s">
        <v>178</v>
      </c>
      <c r="D23" s="5">
        <v>1</v>
      </c>
      <c r="E23" s="6" t="s">
        <v>138</v>
      </c>
      <c r="F23" s="6">
        <v>182158</v>
      </c>
      <c r="G23" s="7">
        <v>45513</v>
      </c>
      <c r="H23" s="7">
        <v>45832</v>
      </c>
      <c r="I23" s="22" t="s">
        <v>197</v>
      </c>
      <c r="J23" s="22">
        <v>301330</v>
      </c>
      <c r="K23" s="23">
        <v>45682</v>
      </c>
      <c r="L23" s="23">
        <v>45688</v>
      </c>
    </row>
    <row r="24" spans="1:12" ht="15.75" customHeight="1">
      <c r="A24" s="21"/>
      <c r="B24" s="21"/>
      <c r="C24" s="21"/>
      <c r="D24" s="21"/>
      <c r="E24" s="24"/>
      <c r="F24" s="24"/>
      <c r="G24" s="24"/>
      <c r="H24" s="24"/>
    </row>
    <row r="25" spans="1:12" ht="15.75" customHeight="1">
      <c r="A25" s="21"/>
      <c r="B25" s="21"/>
      <c r="C25" s="21"/>
      <c r="D25" s="21"/>
      <c r="E25" s="24"/>
      <c r="F25" s="24"/>
      <c r="G25" s="24"/>
      <c r="H25" s="24"/>
    </row>
    <row r="26" spans="1:12" ht="15.75" customHeight="1">
      <c r="A26" s="21"/>
      <c r="B26" s="21"/>
      <c r="C26" s="21"/>
      <c r="D26" s="21"/>
      <c r="E26" s="24"/>
      <c r="F26" s="24"/>
      <c r="G26" s="24"/>
      <c r="H26" s="24"/>
    </row>
    <row r="27" spans="1:12" ht="15.75" customHeight="1">
      <c r="A27" s="21"/>
      <c r="B27" s="21"/>
      <c r="C27" s="21"/>
      <c r="D27" s="21"/>
      <c r="E27" s="24"/>
      <c r="F27" s="24"/>
      <c r="G27" s="24"/>
      <c r="H27" s="24"/>
    </row>
    <row r="28" spans="1:12" ht="15.75" customHeight="1">
      <c r="A28" s="21"/>
      <c r="B28" s="21"/>
      <c r="C28" s="21"/>
      <c r="D28" s="21"/>
      <c r="E28" s="24"/>
      <c r="F28" s="24"/>
      <c r="G28" s="24"/>
      <c r="H28" s="24"/>
    </row>
    <row r="29" spans="1:12" ht="15.75" customHeight="1">
      <c r="A29" s="21"/>
      <c r="B29" s="21"/>
      <c r="C29" s="21"/>
      <c r="D29" s="21"/>
      <c r="E29" s="24"/>
      <c r="F29" s="24"/>
      <c r="G29" s="24"/>
      <c r="H29" s="24"/>
    </row>
    <row r="30" spans="1:12" ht="15.75" customHeight="1">
      <c r="A30" s="21"/>
      <c r="B30" s="21"/>
      <c r="C30" s="21"/>
      <c r="D30" s="21"/>
      <c r="E30" s="24"/>
      <c r="F30" s="24"/>
      <c r="G30" s="24"/>
      <c r="H30" s="24"/>
    </row>
    <row r="31" spans="1:12" ht="15.75" customHeight="1">
      <c r="A31" s="21"/>
      <c r="B31" s="21"/>
      <c r="C31" s="21"/>
      <c r="D31" s="21"/>
      <c r="E31" s="24"/>
      <c r="F31" s="24"/>
      <c r="G31" s="24"/>
      <c r="H31" s="24"/>
    </row>
    <row r="32" spans="1:12" ht="15.75" customHeight="1">
      <c r="A32" s="21"/>
      <c r="B32" s="21"/>
      <c r="C32" s="21"/>
      <c r="D32" s="21"/>
      <c r="E32" s="24"/>
      <c r="F32" s="24"/>
      <c r="G32" s="24"/>
      <c r="H32" s="24"/>
    </row>
    <row r="33" spans="1:8" ht="15.75" customHeight="1">
      <c r="A33" s="21"/>
      <c r="B33" s="21"/>
      <c r="C33" s="21"/>
      <c r="D33" s="21"/>
      <c r="E33" s="24"/>
      <c r="F33" s="24"/>
      <c r="G33" s="24"/>
      <c r="H33" s="24"/>
    </row>
    <row r="34" spans="1:8" ht="15.75" customHeight="1">
      <c r="A34" s="21"/>
      <c r="B34" s="21"/>
      <c r="C34" s="21"/>
      <c r="D34" s="21"/>
      <c r="E34" s="24"/>
      <c r="F34" s="24"/>
      <c r="G34" s="24"/>
      <c r="H34" s="24"/>
    </row>
    <row r="35" spans="1:8" ht="15.75" customHeight="1">
      <c r="A35" s="21"/>
      <c r="B35" s="21"/>
      <c r="C35" s="21"/>
      <c r="D35" s="21"/>
      <c r="E35" s="24"/>
      <c r="F35" s="24"/>
      <c r="G35" s="24"/>
      <c r="H35" s="24"/>
    </row>
    <row r="36" spans="1:8" ht="15.75" customHeight="1">
      <c r="A36" s="21"/>
      <c r="B36" s="21"/>
      <c r="C36" s="21"/>
      <c r="D36" s="21"/>
      <c r="E36" s="24"/>
      <c r="F36" s="24"/>
      <c r="G36" s="24"/>
      <c r="H36" s="24"/>
    </row>
    <row r="37" spans="1:8" ht="15.75" customHeight="1">
      <c r="A37" s="21"/>
      <c r="B37" s="21"/>
      <c r="C37" s="21"/>
      <c r="D37" s="21"/>
      <c r="E37" s="24"/>
      <c r="F37" s="24"/>
      <c r="G37" s="24"/>
      <c r="H37" s="24"/>
    </row>
    <row r="38" spans="1:8" ht="15.75" customHeight="1">
      <c r="A38" s="21"/>
      <c r="B38" s="21"/>
      <c r="C38" s="21"/>
      <c r="D38" s="21"/>
      <c r="E38" s="24"/>
      <c r="F38" s="24"/>
      <c r="G38" s="24"/>
      <c r="H38" s="24"/>
    </row>
    <row r="39" spans="1:8" ht="15.75" customHeight="1">
      <c r="A39" s="21"/>
      <c r="B39" s="21"/>
      <c r="C39" s="21"/>
      <c r="D39" s="21"/>
      <c r="E39" s="24"/>
      <c r="F39" s="24"/>
      <c r="G39" s="24"/>
      <c r="H39" s="24"/>
    </row>
    <row r="40" spans="1:8" ht="15.75" customHeight="1">
      <c r="A40" s="21"/>
      <c r="B40" s="21"/>
      <c r="C40" s="21"/>
      <c r="D40" s="21"/>
      <c r="E40" s="24"/>
      <c r="F40" s="24"/>
      <c r="G40" s="24"/>
      <c r="H40" s="24"/>
    </row>
    <row r="41" spans="1:8" ht="15.75" customHeight="1">
      <c r="A41" s="21"/>
      <c r="B41" s="21"/>
      <c r="C41" s="21"/>
      <c r="D41" s="21"/>
      <c r="E41" s="24"/>
      <c r="F41" s="24"/>
      <c r="G41" s="24"/>
      <c r="H41" s="24"/>
    </row>
    <row r="42" spans="1:8" ht="15.75" customHeight="1">
      <c r="A42" s="21"/>
      <c r="B42" s="21"/>
      <c r="C42" s="21"/>
      <c r="D42" s="21"/>
      <c r="E42" s="24"/>
      <c r="F42" s="24"/>
      <c r="G42" s="24"/>
      <c r="H42" s="24"/>
    </row>
    <row r="43" spans="1:8" ht="15.75" customHeight="1">
      <c r="A43" s="21"/>
      <c r="B43" s="21"/>
      <c r="C43" s="21"/>
      <c r="D43" s="21"/>
      <c r="E43" s="24"/>
      <c r="F43" s="24"/>
      <c r="G43" s="24"/>
      <c r="H43" s="24"/>
    </row>
    <row r="44" spans="1:8" ht="15.75" customHeight="1">
      <c r="A44" s="21"/>
      <c r="B44" s="21"/>
      <c r="C44" s="21"/>
      <c r="D44" s="21"/>
      <c r="E44" s="24"/>
      <c r="F44" s="24"/>
      <c r="G44" s="24"/>
      <c r="H44" s="24"/>
    </row>
    <row r="45" spans="1:8" ht="15.75" customHeight="1">
      <c r="A45" s="21"/>
      <c r="B45" s="21"/>
      <c r="C45" s="21"/>
      <c r="D45" s="21"/>
      <c r="E45" s="24"/>
      <c r="F45" s="24"/>
      <c r="G45" s="24"/>
      <c r="H45" s="24"/>
    </row>
    <row r="46" spans="1:8" ht="15.75" customHeight="1">
      <c r="A46" s="21"/>
      <c r="B46" s="21"/>
      <c r="C46" s="21"/>
      <c r="D46" s="21"/>
      <c r="E46" s="24"/>
      <c r="F46" s="24"/>
      <c r="G46" s="24"/>
      <c r="H46" s="24"/>
    </row>
    <row r="47" spans="1:8" ht="15.75" customHeight="1">
      <c r="A47" s="21"/>
      <c r="B47" s="21"/>
      <c r="C47" s="21"/>
      <c r="D47" s="21"/>
      <c r="E47" s="24"/>
      <c r="F47" s="24"/>
      <c r="G47" s="24"/>
      <c r="H47" s="24"/>
    </row>
    <row r="48" spans="1:8" ht="15.75" customHeight="1">
      <c r="A48" s="21"/>
      <c r="B48" s="21"/>
      <c r="C48" s="21"/>
      <c r="D48" s="21"/>
      <c r="E48" s="24"/>
      <c r="F48" s="24"/>
      <c r="G48" s="24"/>
      <c r="H48" s="24"/>
    </row>
    <row r="49" spans="1:8" ht="15.75" customHeight="1">
      <c r="A49" s="21"/>
      <c r="B49" s="21"/>
      <c r="C49" s="21"/>
      <c r="D49" s="21"/>
      <c r="E49" s="24"/>
      <c r="F49" s="24"/>
      <c r="G49" s="24"/>
      <c r="H49" s="24"/>
    </row>
    <row r="50" spans="1:8" ht="15.75" customHeight="1">
      <c r="A50" s="21"/>
      <c r="B50" s="21"/>
      <c r="C50" s="21"/>
      <c r="D50" s="21"/>
      <c r="E50" s="24"/>
      <c r="F50" s="24"/>
      <c r="G50" s="24"/>
      <c r="H50" s="24"/>
    </row>
    <row r="51" spans="1:8" ht="15.75" customHeight="1">
      <c r="A51" s="21"/>
      <c r="B51" s="21"/>
      <c r="C51" s="21"/>
      <c r="D51" s="21"/>
      <c r="E51" s="24"/>
      <c r="F51" s="24"/>
      <c r="G51" s="24"/>
      <c r="H51" s="24"/>
    </row>
    <row r="52" spans="1:8" ht="15.75" customHeight="1">
      <c r="A52" s="21"/>
      <c r="B52" s="21"/>
      <c r="C52" s="21"/>
      <c r="D52" s="21"/>
      <c r="E52" s="24"/>
      <c r="F52" s="24"/>
      <c r="G52" s="24"/>
      <c r="H52" s="24"/>
    </row>
    <row r="53" spans="1:8" ht="15.75" customHeight="1">
      <c r="A53" s="21"/>
      <c r="B53" s="21"/>
      <c r="C53" s="21"/>
      <c r="D53" s="21"/>
      <c r="E53" s="24"/>
      <c r="F53" s="24"/>
      <c r="G53" s="24"/>
      <c r="H53" s="24"/>
    </row>
    <row r="54" spans="1:8" ht="15.75" customHeight="1">
      <c r="A54" s="21"/>
      <c r="B54" s="21"/>
      <c r="C54" s="21"/>
      <c r="D54" s="21"/>
      <c r="E54" s="24"/>
      <c r="F54" s="24"/>
      <c r="G54" s="24"/>
      <c r="H54" s="24"/>
    </row>
    <row r="55" spans="1:8" ht="15.75" customHeight="1">
      <c r="A55" s="21"/>
      <c r="B55" s="21"/>
      <c r="C55" s="21"/>
      <c r="D55" s="21"/>
      <c r="E55" s="24"/>
      <c r="F55" s="24"/>
      <c r="G55" s="24"/>
      <c r="H55" s="24"/>
    </row>
    <row r="56" spans="1:8" ht="15.75" customHeight="1">
      <c r="A56" s="21"/>
      <c r="B56" s="21"/>
      <c r="C56" s="21"/>
      <c r="D56" s="21"/>
      <c r="E56" s="24"/>
      <c r="F56" s="24"/>
      <c r="G56" s="24"/>
      <c r="H56" s="24"/>
    </row>
    <row r="57" spans="1:8" ht="15.75" customHeight="1">
      <c r="A57" s="21"/>
      <c r="B57" s="21"/>
      <c r="C57" s="21"/>
      <c r="D57" s="21"/>
      <c r="E57" s="24"/>
      <c r="F57" s="24"/>
      <c r="G57" s="24"/>
      <c r="H57" s="24"/>
    </row>
    <row r="58" spans="1:8" ht="15.75" customHeight="1">
      <c r="A58" s="21"/>
      <c r="B58" s="21"/>
      <c r="C58" s="21"/>
      <c r="D58" s="21"/>
      <c r="E58" s="24"/>
      <c r="F58" s="24"/>
      <c r="G58" s="24"/>
      <c r="H58" s="24"/>
    </row>
    <row r="59" spans="1:8" ht="15.75" customHeight="1">
      <c r="A59" s="21"/>
      <c r="B59" s="21"/>
      <c r="C59" s="21"/>
      <c r="D59" s="21"/>
      <c r="E59" s="24"/>
      <c r="F59" s="24"/>
      <c r="G59" s="24"/>
      <c r="H59" s="24"/>
    </row>
    <row r="60" spans="1:8" ht="15.75" customHeight="1">
      <c r="A60" s="21"/>
      <c r="B60" s="21"/>
      <c r="C60" s="21"/>
      <c r="D60" s="21"/>
      <c r="E60" s="24"/>
      <c r="F60" s="24"/>
      <c r="G60" s="24"/>
      <c r="H60" s="24"/>
    </row>
    <row r="61" spans="1:8" ht="15.75" customHeight="1">
      <c r="A61" s="21"/>
      <c r="B61" s="21"/>
      <c r="C61" s="21"/>
      <c r="D61" s="21"/>
      <c r="E61" s="24"/>
      <c r="F61" s="24"/>
      <c r="G61" s="24"/>
      <c r="H61" s="24"/>
    </row>
    <row r="62" spans="1:8" ht="15.75" customHeight="1">
      <c r="A62" s="21"/>
      <c r="B62" s="21"/>
      <c r="C62" s="21"/>
      <c r="D62" s="21"/>
      <c r="E62" s="24"/>
      <c r="F62" s="24"/>
      <c r="G62" s="24"/>
      <c r="H62" s="24"/>
    </row>
    <row r="63" spans="1:8" ht="15.75" customHeight="1">
      <c r="A63" s="21"/>
      <c r="B63" s="21"/>
      <c r="C63" s="21"/>
      <c r="D63" s="21"/>
      <c r="E63" s="24"/>
      <c r="F63" s="24"/>
      <c r="G63" s="24"/>
      <c r="H63" s="24"/>
    </row>
    <row r="64" spans="1:8" ht="15.75" customHeight="1">
      <c r="A64" s="21"/>
      <c r="B64" s="21"/>
      <c r="C64" s="21"/>
      <c r="D64" s="21"/>
      <c r="E64" s="24"/>
      <c r="F64" s="24"/>
      <c r="G64" s="24"/>
      <c r="H64" s="24"/>
    </row>
    <row r="65" spans="1:8" ht="15.75" customHeight="1">
      <c r="A65" s="21"/>
      <c r="B65" s="21"/>
      <c r="C65" s="21"/>
      <c r="D65" s="21"/>
      <c r="E65" s="24"/>
      <c r="F65" s="24"/>
      <c r="G65" s="24"/>
      <c r="H65" s="24"/>
    </row>
    <row r="66" spans="1:8" ht="15.75" customHeight="1">
      <c r="A66" s="21"/>
      <c r="B66" s="21"/>
      <c r="C66" s="21"/>
      <c r="D66" s="21"/>
      <c r="E66" s="24"/>
      <c r="F66" s="24"/>
      <c r="G66" s="24"/>
      <c r="H66" s="24"/>
    </row>
    <row r="67" spans="1:8" ht="15.75" customHeight="1">
      <c r="A67" s="21"/>
      <c r="B67" s="21"/>
      <c r="C67" s="21"/>
      <c r="D67" s="21"/>
      <c r="E67" s="24"/>
      <c r="F67" s="24"/>
      <c r="G67" s="24"/>
      <c r="H67" s="24"/>
    </row>
    <row r="68" spans="1:8" ht="15.75" customHeight="1">
      <c r="A68" s="21"/>
      <c r="B68" s="21"/>
      <c r="C68" s="21"/>
      <c r="D68" s="21"/>
      <c r="E68" s="24"/>
      <c r="F68" s="24"/>
      <c r="G68" s="24"/>
      <c r="H68" s="24"/>
    </row>
    <row r="69" spans="1:8" ht="15.75" customHeight="1">
      <c r="A69" s="21"/>
      <c r="B69" s="21"/>
      <c r="C69" s="21"/>
      <c r="D69" s="21"/>
      <c r="E69" s="24"/>
      <c r="F69" s="24"/>
      <c r="G69" s="24"/>
      <c r="H69" s="24"/>
    </row>
    <row r="70" spans="1:8" ht="15.75" customHeight="1">
      <c r="A70" s="21"/>
      <c r="B70" s="21"/>
      <c r="C70" s="21"/>
      <c r="D70" s="21"/>
      <c r="E70" s="24"/>
      <c r="F70" s="24"/>
      <c r="G70" s="24"/>
      <c r="H70" s="24"/>
    </row>
    <row r="71" spans="1:8" ht="15.75" customHeight="1">
      <c r="A71" s="21"/>
      <c r="B71" s="21"/>
      <c r="C71" s="21"/>
      <c r="D71" s="21"/>
      <c r="E71" s="24"/>
      <c r="F71" s="24"/>
      <c r="G71" s="24"/>
      <c r="H71" s="24"/>
    </row>
    <row r="72" spans="1:8" ht="15.75" customHeight="1">
      <c r="A72" s="21"/>
      <c r="B72" s="21"/>
      <c r="C72" s="21"/>
      <c r="D72" s="21"/>
      <c r="E72" s="24"/>
      <c r="F72" s="24"/>
      <c r="G72" s="24"/>
      <c r="H72" s="24"/>
    </row>
    <row r="73" spans="1:8" ht="15.75" customHeight="1">
      <c r="A73" s="21"/>
      <c r="B73" s="21"/>
      <c r="C73" s="21"/>
      <c r="D73" s="21"/>
      <c r="E73" s="24"/>
      <c r="F73" s="24"/>
      <c r="G73" s="24"/>
      <c r="H73" s="24"/>
    </row>
    <row r="74" spans="1:8" ht="15.75" customHeight="1">
      <c r="A74" s="21"/>
      <c r="B74" s="21"/>
      <c r="C74" s="21"/>
      <c r="D74" s="21"/>
      <c r="E74" s="24"/>
      <c r="F74" s="24"/>
      <c r="G74" s="24"/>
      <c r="H74" s="24"/>
    </row>
    <row r="75" spans="1:8" ht="15.75" customHeight="1">
      <c r="A75" s="21"/>
      <c r="B75" s="21"/>
      <c r="C75" s="21"/>
      <c r="D75" s="21"/>
      <c r="E75" s="24"/>
      <c r="F75" s="24"/>
      <c r="G75" s="24"/>
      <c r="H75" s="24"/>
    </row>
    <row r="76" spans="1:8" ht="15.75" customHeight="1">
      <c r="A76" s="21"/>
      <c r="B76" s="21"/>
      <c r="C76" s="21"/>
      <c r="D76" s="21"/>
      <c r="E76" s="24"/>
      <c r="F76" s="24"/>
      <c r="G76" s="24"/>
      <c r="H76" s="24"/>
    </row>
    <row r="77" spans="1:8" ht="15.75" customHeight="1">
      <c r="A77" s="21"/>
      <c r="B77" s="21"/>
      <c r="C77" s="21"/>
      <c r="D77" s="21"/>
      <c r="E77" s="24"/>
      <c r="F77" s="24"/>
      <c r="G77" s="24"/>
      <c r="H77" s="24"/>
    </row>
    <row r="78" spans="1:8" ht="15.75" customHeight="1">
      <c r="A78" s="21"/>
      <c r="B78" s="21"/>
      <c r="C78" s="21"/>
      <c r="D78" s="21"/>
      <c r="E78" s="24"/>
      <c r="F78" s="24"/>
      <c r="G78" s="24"/>
      <c r="H78" s="24"/>
    </row>
    <row r="79" spans="1:8" ht="15.75" customHeight="1">
      <c r="A79" s="21"/>
      <c r="B79" s="21"/>
      <c r="C79" s="21"/>
      <c r="D79" s="21"/>
      <c r="E79" s="24"/>
      <c r="F79" s="24"/>
      <c r="G79" s="24"/>
      <c r="H79" s="24"/>
    </row>
    <row r="80" spans="1:8" ht="15.75" customHeight="1">
      <c r="A80" s="21"/>
      <c r="B80" s="21"/>
      <c r="C80" s="21"/>
      <c r="D80" s="21"/>
      <c r="E80" s="24"/>
      <c r="F80" s="24"/>
      <c r="G80" s="24"/>
      <c r="H80" s="24"/>
    </row>
    <row r="81" spans="1:8" ht="15.75" customHeight="1">
      <c r="A81" s="21"/>
      <c r="B81" s="21"/>
      <c r="C81" s="21"/>
      <c r="D81" s="21"/>
      <c r="E81" s="24"/>
      <c r="F81" s="24"/>
      <c r="G81" s="24"/>
      <c r="H81" s="24"/>
    </row>
    <row r="82" spans="1:8" ht="15.75" customHeight="1">
      <c r="A82" s="21"/>
      <c r="B82" s="21"/>
      <c r="C82" s="21"/>
      <c r="D82" s="21"/>
      <c r="E82" s="24"/>
      <c r="F82" s="24"/>
      <c r="G82" s="24"/>
      <c r="H82" s="24"/>
    </row>
    <row r="83" spans="1:8" ht="15.75" customHeight="1">
      <c r="A83" s="21"/>
      <c r="B83" s="21"/>
      <c r="C83" s="21"/>
      <c r="D83" s="21"/>
      <c r="E83" s="24"/>
      <c r="F83" s="24"/>
      <c r="G83" s="24"/>
      <c r="H83" s="24"/>
    </row>
    <row r="84" spans="1:8" ht="15.75" customHeight="1">
      <c r="A84" s="21"/>
      <c r="B84" s="21"/>
      <c r="C84" s="21"/>
      <c r="D84" s="21"/>
      <c r="E84" s="24"/>
      <c r="F84" s="24"/>
      <c r="G84" s="24"/>
      <c r="H84" s="24"/>
    </row>
    <row r="85" spans="1:8" ht="15.75" customHeight="1">
      <c r="A85" s="21"/>
      <c r="B85" s="21"/>
      <c r="C85" s="21"/>
      <c r="D85" s="21"/>
      <c r="E85" s="24"/>
      <c r="F85" s="24"/>
      <c r="G85" s="24"/>
      <c r="H85" s="24"/>
    </row>
    <row r="86" spans="1:8" ht="15.75" customHeight="1">
      <c r="A86" s="21"/>
      <c r="B86" s="21"/>
      <c r="C86" s="21"/>
      <c r="D86" s="21"/>
      <c r="E86" s="24"/>
      <c r="F86" s="24"/>
      <c r="G86" s="24"/>
      <c r="H86" s="24"/>
    </row>
    <row r="87" spans="1:8" ht="15.75" customHeight="1">
      <c r="A87" s="21"/>
      <c r="B87" s="21"/>
      <c r="C87" s="21"/>
      <c r="D87" s="21"/>
      <c r="E87" s="24"/>
      <c r="F87" s="24"/>
      <c r="G87" s="24"/>
      <c r="H87" s="24"/>
    </row>
    <row r="88" spans="1:8" ht="15.75" customHeight="1">
      <c r="A88" s="21"/>
      <c r="B88" s="21"/>
      <c r="C88" s="21"/>
      <c r="D88" s="21"/>
      <c r="E88" s="24"/>
      <c r="F88" s="24"/>
      <c r="G88" s="24"/>
      <c r="H88" s="24"/>
    </row>
    <row r="89" spans="1:8" ht="15.75" customHeight="1">
      <c r="A89" s="21"/>
      <c r="B89" s="21"/>
      <c r="C89" s="21"/>
      <c r="D89" s="21"/>
      <c r="E89" s="24"/>
      <c r="F89" s="24"/>
      <c r="G89" s="24"/>
      <c r="H89" s="24"/>
    </row>
    <row r="90" spans="1:8" ht="15.75" customHeight="1">
      <c r="A90" s="21"/>
      <c r="B90" s="21"/>
      <c r="C90" s="21"/>
      <c r="D90" s="21"/>
      <c r="E90" s="24"/>
      <c r="F90" s="24"/>
      <c r="G90" s="24"/>
      <c r="H90" s="24"/>
    </row>
    <row r="91" spans="1:8" ht="15.75" customHeight="1">
      <c r="A91" s="21"/>
      <c r="B91" s="21"/>
      <c r="C91" s="21"/>
      <c r="D91" s="21"/>
      <c r="E91" s="24"/>
      <c r="F91" s="24"/>
      <c r="G91" s="24"/>
      <c r="H91" s="24"/>
    </row>
    <row r="92" spans="1:8" ht="15.75" customHeight="1">
      <c r="A92" s="21"/>
      <c r="B92" s="21"/>
      <c r="C92" s="21"/>
      <c r="D92" s="21"/>
      <c r="E92" s="24"/>
      <c r="F92" s="24"/>
      <c r="G92" s="24"/>
      <c r="H92" s="24"/>
    </row>
    <row r="93" spans="1:8" ht="15.75" customHeight="1">
      <c r="A93" s="21"/>
      <c r="B93" s="21"/>
      <c r="C93" s="21"/>
      <c r="D93" s="21"/>
      <c r="E93" s="24"/>
      <c r="F93" s="24"/>
      <c r="G93" s="24"/>
      <c r="H93" s="24"/>
    </row>
    <row r="94" spans="1:8" ht="15.75" customHeight="1">
      <c r="A94" s="21"/>
      <c r="B94" s="21"/>
      <c r="C94" s="21"/>
      <c r="D94" s="21"/>
      <c r="E94" s="24"/>
      <c r="F94" s="24"/>
      <c r="G94" s="24"/>
      <c r="H94" s="24"/>
    </row>
    <row r="95" spans="1:8" ht="15.75" customHeight="1">
      <c r="A95" s="21"/>
      <c r="B95" s="21"/>
      <c r="C95" s="21"/>
      <c r="D95" s="21"/>
      <c r="E95" s="24"/>
      <c r="F95" s="24"/>
      <c r="G95" s="24"/>
      <c r="H95" s="24"/>
    </row>
    <row r="96" spans="1:8" ht="15.75" customHeight="1">
      <c r="A96" s="21"/>
      <c r="B96" s="21"/>
      <c r="C96" s="21"/>
      <c r="D96" s="21"/>
      <c r="E96" s="24"/>
      <c r="F96" s="24"/>
      <c r="G96" s="24"/>
      <c r="H96" s="24"/>
    </row>
    <row r="97" spans="1:8" ht="15.75" customHeight="1">
      <c r="A97" s="21"/>
      <c r="B97" s="21"/>
      <c r="C97" s="21"/>
      <c r="D97" s="21"/>
      <c r="E97" s="24"/>
      <c r="F97" s="24"/>
      <c r="G97" s="24"/>
      <c r="H97" s="24"/>
    </row>
    <row r="98" spans="1:8" ht="15.75" customHeight="1">
      <c r="A98" s="21"/>
      <c r="B98" s="21"/>
      <c r="C98" s="21"/>
      <c r="D98" s="21"/>
      <c r="E98" s="24"/>
      <c r="F98" s="24"/>
      <c r="G98" s="24"/>
      <c r="H98" s="24"/>
    </row>
    <row r="99" spans="1:8" ht="15.75" customHeight="1">
      <c r="A99" s="21"/>
      <c r="B99" s="21"/>
      <c r="C99" s="21"/>
      <c r="D99" s="21"/>
      <c r="E99" s="24"/>
      <c r="F99" s="24"/>
      <c r="G99" s="24"/>
      <c r="H99" s="24"/>
    </row>
    <row r="100" spans="1:8" ht="15.75" customHeight="1">
      <c r="A100" s="21"/>
      <c r="B100" s="21"/>
      <c r="C100" s="21"/>
      <c r="D100" s="21"/>
      <c r="E100" s="24"/>
      <c r="F100" s="24"/>
      <c r="G100" s="24"/>
      <c r="H100" s="24"/>
    </row>
    <row r="101" spans="1:8" ht="15.75" customHeight="1">
      <c r="A101" s="21"/>
      <c r="B101" s="21"/>
      <c r="C101" s="21"/>
      <c r="D101" s="21"/>
      <c r="E101" s="24"/>
      <c r="F101" s="24"/>
      <c r="G101" s="24"/>
      <c r="H101" s="24"/>
    </row>
    <row r="102" spans="1:8" ht="15.75" customHeight="1">
      <c r="A102" s="21"/>
      <c r="B102" s="21"/>
      <c r="C102" s="21"/>
      <c r="D102" s="21"/>
      <c r="E102" s="24"/>
      <c r="F102" s="24"/>
      <c r="G102" s="24"/>
      <c r="H102" s="24"/>
    </row>
    <row r="103" spans="1:8" ht="15.75" customHeight="1">
      <c r="A103" s="21"/>
      <c r="B103" s="21"/>
      <c r="C103" s="21"/>
      <c r="D103" s="21"/>
      <c r="E103" s="24"/>
      <c r="F103" s="24"/>
      <c r="G103" s="24"/>
      <c r="H103" s="24"/>
    </row>
    <row r="104" spans="1:8" ht="15.75" customHeight="1">
      <c r="A104" s="21"/>
      <c r="B104" s="21"/>
      <c r="C104" s="21"/>
      <c r="D104" s="21"/>
      <c r="E104" s="24"/>
      <c r="F104" s="24"/>
      <c r="G104" s="24"/>
      <c r="H104" s="24"/>
    </row>
    <row r="105" spans="1:8" ht="15.75" customHeight="1">
      <c r="A105" s="21"/>
      <c r="B105" s="21"/>
      <c r="C105" s="21"/>
      <c r="D105" s="21"/>
      <c r="E105" s="24"/>
      <c r="F105" s="24"/>
      <c r="G105" s="24"/>
      <c r="H105" s="24"/>
    </row>
    <row r="106" spans="1:8" ht="15.75" customHeight="1">
      <c r="A106" s="21"/>
      <c r="B106" s="21"/>
      <c r="C106" s="21"/>
      <c r="D106" s="21"/>
      <c r="E106" s="24"/>
      <c r="F106" s="24"/>
      <c r="G106" s="24"/>
      <c r="H106" s="24"/>
    </row>
    <row r="107" spans="1:8" ht="15.75" customHeight="1">
      <c r="A107" s="21"/>
      <c r="B107" s="21"/>
      <c r="C107" s="21"/>
      <c r="D107" s="21"/>
      <c r="E107" s="24"/>
      <c r="F107" s="24"/>
      <c r="G107" s="24"/>
      <c r="H107" s="24"/>
    </row>
    <row r="108" spans="1:8" ht="15.75" customHeight="1">
      <c r="A108" s="21"/>
      <c r="B108" s="21"/>
      <c r="C108" s="21"/>
      <c r="D108" s="21"/>
      <c r="E108" s="24"/>
      <c r="F108" s="24"/>
      <c r="G108" s="24"/>
      <c r="H108" s="24"/>
    </row>
    <row r="109" spans="1:8" ht="15.75" customHeight="1">
      <c r="A109" s="21"/>
      <c r="B109" s="21"/>
      <c r="C109" s="21"/>
      <c r="D109" s="21"/>
      <c r="E109" s="24"/>
      <c r="F109" s="24"/>
      <c r="G109" s="24"/>
      <c r="H109" s="24"/>
    </row>
    <row r="110" spans="1:8" ht="15.75" customHeight="1">
      <c r="A110" s="21"/>
      <c r="B110" s="21"/>
      <c r="C110" s="21"/>
      <c r="D110" s="21"/>
      <c r="E110" s="24"/>
      <c r="F110" s="24"/>
      <c r="G110" s="24"/>
      <c r="H110" s="24"/>
    </row>
    <row r="111" spans="1:8" ht="15.75" customHeight="1">
      <c r="A111" s="21"/>
      <c r="B111" s="21"/>
      <c r="C111" s="21"/>
      <c r="D111" s="21"/>
      <c r="E111" s="24"/>
      <c r="F111" s="24"/>
      <c r="G111" s="24"/>
      <c r="H111" s="24"/>
    </row>
    <row r="112" spans="1:8" ht="15.75" customHeight="1">
      <c r="A112" s="21"/>
      <c r="B112" s="21"/>
      <c r="C112" s="21"/>
      <c r="D112" s="21"/>
      <c r="E112" s="24"/>
      <c r="F112" s="24"/>
      <c r="G112" s="24"/>
      <c r="H112" s="24"/>
    </row>
    <row r="113" spans="1:8" ht="15.75" customHeight="1">
      <c r="A113" s="21"/>
      <c r="B113" s="21"/>
      <c r="C113" s="21"/>
      <c r="D113" s="21"/>
      <c r="E113" s="24"/>
      <c r="F113" s="24"/>
      <c r="G113" s="24"/>
      <c r="H113" s="24"/>
    </row>
    <row r="114" spans="1:8" ht="15.75" customHeight="1">
      <c r="A114" s="21"/>
      <c r="B114" s="21"/>
      <c r="C114" s="21"/>
      <c r="D114" s="21"/>
      <c r="E114" s="24"/>
      <c r="F114" s="24"/>
      <c r="G114" s="24"/>
      <c r="H114" s="24"/>
    </row>
    <row r="115" spans="1:8" ht="15.75" customHeight="1">
      <c r="A115" s="21"/>
      <c r="B115" s="21"/>
      <c r="C115" s="21"/>
      <c r="D115" s="21"/>
      <c r="E115" s="24"/>
      <c r="F115" s="24"/>
      <c r="G115" s="24"/>
      <c r="H115" s="24"/>
    </row>
    <row r="116" spans="1:8" ht="15.75" customHeight="1">
      <c r="A116" s="21"/>
      <c r="B116" s="21"/>
      <c r="C116" s="21"/>
      <c r="D116" s="21"/>
      <c r="E116" s="24"/>
      <c r="F116" s="24"/>
      <c r="G116" s="24"/>
      <c r="H116" s="24"/>
    </row>
    <row r="117" spans="1:8" ht="15.75" customHeight="1">
      <c r="A117" s="21"/>
      <c r="B117" s="21"/>
      <c r="C117" s="21"/>
      <c r="D117" s="21"/>
      <c r="E117" s="24"/>
      <c r="F117" s="24"/>
      <c r="G117" s="24"/>
      <c r="H117" s="24"/>
    </row>
    <row r="118" spans="1:8" ht="15.75" customHeight="1">
      <c r="A118" s="21"/>
      <c r="B118" s="21"/>
      <c r="C118" s="21"/>
      <c r="D118" s="21"/>
      <c r="E118" s="24"/>
      <c r="F118" s="24"/>
      <c r="G118" s="24"/>
      <c r="H118" s="24"/>
    </row>
    <row r="119" spans="1:8" ht="15.75" customHeight="1">
      <c r="A119" s="21"/>
      <c r="B119" s="21"/>
      <c r="C119" s="21"/>
      <c r="D119" s="21"/>
      <c r="E119" s="24"/>
      <c r="F119" s="24"/>
      <c r="G119" s="24"/>
      <c r="H119" s="24"/>
    </row>
    <row r="120" spans="1:8" ht="15.75" customHeight="1">
      <c r="A120" s="21"/>
      <c r="B120" s="21"/>
      <c r="C120" s="21"/>
      <c r="D120" s="21"/>
      <c r="E120" s="24"/>
      <c r="F120" s="24"/>
      <c r="G120" s="24"/>
      <c r="H120" s="24"/>
    </row>
    <row r="121" spans="1:8" ht="15.75" customHeight="1">
      <c r="A121" s="21"/>
      <c r="B121" s="21"/>
      <c r="C121" s="21"/>
      <c r="D121" s="21"/>
      <c r="E121" s="24"/>
      <c r="F121" s="24"/>
      <c r="G121" s="24"/>
      <c r="H121" s="24"/>
    </row>
    <row r="122" spans="1:8" ht="15.75" customHeight="1">
      <c r="A122" s="21"/>
      <c r="B122" s="21"/>
      <c r="C122" s="21"/>
      <c r="D122" s="21"/>
      <c r="E122" s="24"/>
      <c r="F122" s="24"/>
      <c r="G122" s="24"/>
      <c r="H122" s="24"/>
    </row>
    <row r="123" spans="1:8" ht="15.75" customHeight="1">
      <c r="A123" s="21"/>
      <c r="B123" s="21"/>
      <c r="C123" s="21"/>
      <c r="D123" s="21"/>
      <c r="E123" s="24"/>
      <c r="F123" s="24"/>
      <c r="G123" s="24"/>
      <c r="H123" s="24"/>
    </row>
    <row r="124" spans="1:8" ht="15.75" customHeight="1">
      <c r="A124" s="21"/>
      <c r="B124" s="21"/>
      <c r="C124" s="21"/>
      <c r="D124" s="21"/>
      <c r="E124" s="24"/>
      <c r="F124" s="24"/>
      <c r="G124" s="24"/>
      <c r="H124" s="24"/>
    </row>
    <row r="125" spans="1:8" ht="15.75" customHeight="1">
      <c r="A125" s="21"/>
      <c r="B125" s="21"/>
      <c r="C125" s="21"/>
      <c r="D125" s="21"/>
      <c r="E125" s="24"/>
      <c r="F125" s="24"/>
      <c r="G125" s="24"/>
      <c r="H125" s="24"/>
    </row>
    <row r="126" spans="1:8" ht="15.75" customHeight="1">
      <c r="A126" s="21"/>
      <c r="B126" s="21"/>
      <c r="C126" s="21"/>
      <c r="D126" s="21"/>
      <c r="E126" s="24"/>
      <c r="F126" s="24"/>
      <c r="G126" s="24"/>
      <c r="H126" s="24"/>
    </row>
    <row r="127" spans="1:8" ht="15.75" customHeight="1">
      <c r="A127" s="21"/>
      <c r="B127" s="21"/>
      <c r="C127" s="21"/>
      <c r="D127" s="21"/>
      <c r="E127" s="24"/>
      <c r="F127" s="24"/>
      <c r="G127" s="24"/>
      <c r="H127" s="24"/>
    </row>
    <row r="128" spans="1:8" ht="15.75" customHeight="1">
      <c r="A128" s="21"/>
      <c r="B128" s="21"/>
      <c r="C128" s="21"/>
      <c r="D128" s="21"/>
      <c r="E128" s="24"/>
      <c r="F128" s="24"/>
      <c r="G128" s="24"/>
      <c r="H128" s="24"/>
    </row>
    <row r="129" spans="1:8" ht="15.75" customHeight="1">
      <c r="A129" s="21"/>
      <c r="B129" s="21"/>
      <c r="C129" s="21"/>
      <c r="D129" s="21"/>
      <c r="E129" s="24"/>
      <c r="F129" s="24"/>
      <c r="G129" s="24"/>
      <c r="H129" s="24"/>
    </row>
    <row r="130" spans="1:8" ht="15.75" customHeight="1">
      <c r="A130" s="21"/>
      <c r="B130" s="21"/>
      <c r="C130" s="21"/>
      <c r="D130" s="21"/>
      <c r="E130" s="24"/>
      <c r="F130" s="24"/>
      <c r="G130" s="24"/>
      <c r="H130" s="24"/>
    </row>
    <row r="131" spans="1:8" ht="15.75" customHeight="1">
      <c r="A131" s="21"/>
      <c r="B131" s="21"/>
      <c r="C131" s="21"/>
      <c r="D131" s="21"/>
      <c r="E131" s="24"/>
      <c r="F131" s="24"/>
      <c r="G131" s="24"/>
      <c r="H131" s="24"/>
    </row>
    <row r="132" spans="1:8" ht="15.75" customHeight="1">
      <c r="A132" s="21"/>
      <c r="B132" s="21"/>
      <c r="C132" s="21"/>
      <c r="D132" s="21"/>
      <c r="E132" s="24"/>
      <c r="F132" s="24"/>
      <c r="G132" s="24"/>
      <c r="H132" s="24"/>
    </row>
    <row r="133" spans="1:8" ht="15.75" customHeight="1">
      <c r="A133" s="21"/>
      <c r="B133" s="21"/>
      <c r="C133" s="21"/>
      <c r="D133" s="21"/>
      <c r="E133" s="24"/>
      <c r="F133" s="24"/>
      <c r="G133" s="24"/>
      <c r="H133" s="24"/>
    </row>
    <row r="134" spans="1:8" ht="15.75" customHeight="1">
      <c r="A134" s="21"/>
      <c r="B134" s="21"/>
      <c r="C134" s="21"/>
      <c r="D134" s="21"/>
      <c r="E134" s="24"/>
      <c r="F134" s="24"/>
      <c r="G134" s="24"/>
      <c r="H134" s="24"/>
    </row>
    <row r="135" spans="1:8" ht="15.75" customHeight="1">
      <c r="A135" s="21"/>
      <c r="B135" s="21"/>
      <c r="C135" s="21"/>
      <c r="D135" s="21"/>
      <c r="E135" s="24"/>
      <c r="F135" s="24"/>
      <c r="G135" s="24"/>
      <c r="H135" s="24"/>
    </row>
    <row r="136" spans="1:8" ht="15.75" customHeight="1">
      <c r="A136" s="21"/>
      <c r="B136" s="21"/>
      <c r="C136" s="21"/>
      <c r="D136" s="21"/>
      <c r="E136" s="24"/>
      <c r="F136" s="24"/>
      <c r="G136" s="24"/>
      <c r="H136" s="24"/>
    </row>
    <row r="137" spans="1:8" ht="15.75" customHeight="1">
      <c r="A137" s="21"/>
      <c r="B137" s="21"/>
      <c r="C137" s="21"/>
      <c r="D137" s="21"/>
      <c r="E137" s="24"/>
      <c r="F137" s="24"/>
      <c r="G137" s="24"/>
      <c r="H137" s="24"/>
    </row>
    <row r="138" spans="1:8" ht="15.75" customHeight="1">
      <c r="A138" s="21"/>
      <c r="B138" s="21"/>
      <c r="C138" s="21"/>
      <c r="D138" s="21"/>
      <c r="E138" s="24"/>
      <c r="F138" s="24"/>
      <c r="G138" s="24"/>
      <c r="H138" s="24"/>
    </row>
    <row r="139" spans="1:8" ht="15.75" customHeight="1">
      <c r="A139" s="21"/>
      <c r="B139" s="21"/>
      <c r="C139" s="21"/>
      <c r="D139" s="21"/>
      <c r="E139" s="24"/>
      <c r="F139" s="24"/>
      <c r="G139" s="24"/>
      <c r="H139" s="24"/>
    </row>
    <row r="140" spans="1:8" ht="15.75" customHeight="1">
      <c r="A140" s="21"/>
      <c r="B140" s="21"/>
      <c r="C140" s="21"/>
      <c r="D140" s="21"/>
      <c r="E140" s="24"/>
      <c r="F140" s="24"/>
      <c r="G140" s="24"/>
      <c r="H140" s="24"/>
    </row>
    <row r="141" spans="1:8" ht="15.75" customHeight="1">
      <c r="A141" s="21"/>
      <c r="B141" s="21"/>
      <c r="C141" s="21"/>
      <c r="D141" s="21"/>
      <c r="E141" s="24"/>
      <c r="F141" s="24"/>
      <c r="G141" s="24"/>
      <c r="H141" s="24"/>
    </row>
    <row r="142" spans="1:8" ht="15.75" customHeight="1">
      <c r="A142" s="21"/>
      <c r="B142" s="21"/>
      <c r="C142" s="21"/>
      <c r="D142" s="21"/>
      <c r="E142" s="24"/>
      <c r="F142" s="24"/>
      <c r="G142" s="24"/>
      <c r="H142" s="24"/>
    </row>
    <row r="143" spans="1:8" ht="15.75" customHeight="1">
      <c r="A143" s="21"/>
      <c r="B143" s="21"/>
      <c r="C143" s="21"/>
      <c r="D143" s="21"/>
      <c r="E143" s="24"/>
      <c r="F143" s="24"/>
      <c r="G143" s="24"/>
      <c r="H143" s="24"/>
    </row>
    <row r="144" spans="1:8" ht="15.75" customHeight="1">
      <c r="A144" s="21"/>
      <c r="B144" s="21"/>
      <c r="C144" s="21"/>
      <c r="D144" s="21"/>
      <c r="E144" s="24"/>
      <c r="F144" s="24"/>
      <c r="G144" s="24"/>
      <c r="H144" s="24"/>
    </row>
    <row r="145" spans="1:8" ht="15.75" customHeight="1">
      <c r="A145" s="21"/>
      <c r="B145" s="21"/>
      <c r="C145" s="21"/>
      <c r="D145" s="21"/>
      <c r="E145" s="24"/>
      <c r="F145" s="24"/>
      <c r="G145" s="24"/>
      <c r="H145" s="24"/>
    </row>
    <row r="146" spans="1:8" ht="15.75" customHeight="1">
      <c r="A146" s="21"/>
      <c r="B146" s="21"/>
      <c r="C146" s="21"/>
      <c r="D146" s="21"/>
      <c r="E146" s="24"/>
      <c r="F146" s="24"/>
      <c r="G146" s="24"/>
      <c r="H146" s="24"/>
    </row>
    <row r="147" spans="1:8" ht="15.75" customHeight="1">
      <c r="A147" s="21"/>
      <c r="B147" s="21"/>
      <c r="C147" s="21"/>
      <c r="D147" s="21"/>
      <c r="E147" s="24"/>
      <c r="F147" s="24"/>
      <c r="G147" s="24"/>
      <c r="H147" s="24"/>
    </row>
    <row r="148" spans="1:8" ht="15.75" customHeight="1">
      <c r="A148" s="21"/>
      <c r="B148" s="21"/>
      <c r="C148" s="21"/>
      <c r="D148" s="21"/>
      <c r="E148" s="24"/>
      <c r="F148" s="24"/>
      <c r="G148" s="24"/>
      <c r="H148" s="24"/>
    </row>
    <row r="149" spans="1:8" ht="15.75" customHeight="1">
      <c r="A149" s="21"/>
      <c r="B149" s="21"/>
      <c r="C149" s="21"/>
      <c r="D149" s="21"/>
      <c r="E149" s="24"/>
      <c r="F149" s="24"/>
      <c r="G149" s="24"/>
      <c r="H149" s="24"/>
    </row>
    <row r="150" spans="1:8" ht="15.75" customHeight="1">
      <c r="A150" s="21"/>
      <c r="B150" s="21"/>
      <c r="C150" s="21"/>
      <c r="D150" s="21"/>
      <c r="E150" s="24"/>
      <c r="F150" s="24"/>
      <c r="G150" s="24"/>
      <c r="H150" s="24"/>
    </row>
    <row r="151" spans="1:8" ht="15.75" customHeight="1">
      <c r="A151" s="21"/>
      <c r="B151" s="21"/>
      <c r="C151" s="21"/>
      <c r="D151" s="21"/>
      <c r="E151" s="24"/>
      <c r="F151" s="24"/>
      <c r="G151" s="24"/>
      <c r="H151" s="24"/>
    </row>
    <row r="152" spans="1:8" ht="15.75" customHeight="1">
      <c r="A152" s="21"/>
      <c r="B152" s="21"/>
      <c r="C152" s="21"/>
      <c r="D152" s="21"/>
      <c r="E152" s="24"/>
      <c r="F152" s="24"/>
      <c r="G152" s="24"/>
      <c r="H152" s="24"/>
    </row>
    <row r="153" spans="1:8" ht="15.75" customHeight="1">
      <c r="A153" s="21"/>
      <c r="B153" s="21"/>
      <c r="C153" s="21"/>
      <c r="D153" s="21"/>
      <c r="E153" s="24"/>
      <c r="F153" s="24"/>
      <c r="G153" s="24"/>
      <c r="H153" s="24"/>
    </row>
    <row r="154" spans="1:8" ht="15.75" customHeight="1">
      <c r="A154" s="21"/>
      <c r="B154" s="21"/>
      <c r="C154" s="21"/>
      <c r="D154" s="21"/>
      <c r="E154" s="24"/>
      <c r="F154" s="24"/>
      <c r="G154" s="24"/>
      <c r="H154" s="24"/>
    </row>
    <row r="155" spans="1:8" ht="15.75" customHeight="1">
      <c r="A155" s="21"/>
      <c r="B155" s="21"/>
      <c r="C155" s="21"/>
      <c r="D155" s="21"/>
      <c r="E155" s="24"/>
      <c r="F155" s="24"/>
      <c r="G155" s="24"/>
      <c r="H155" s="24"/>
    </row>
    <row r="156" spans="1:8" ht="15.75" customHeight="1">
      <c r="A156" s="21"/>
      <c r="B156" s="21"/>
      <c r="C156" s="21"/>
      <c r="D156" s="21"/>
      <c r="E156" s="24"/>
      <c r="F156" s="24"/>
      <c r="G156" s="24"/>
      <c r="H156" s="24"/>
    </row>
    <row r="157" spans="1:8" ht="15.75" customHeight="1">
      <c r="A157" s="21"/>
      <c r="B157" s="21"/>
      <c r="C157" s="21"/>
      <c r="D157" s="21"/>
      <c r="E157" s="24"/>
      <c r="F157" s="24"/>
      <c r="G157" s="24"/>
      <c r="H157" s="24"/>
    </row>
    <row r="158" spans="1:8" ht="15.75" customHeight="1">
      <c r="A158" s="21"/>
      <c r="B158" s="21"/>
      <c r="C158" s="21"/>
      <c r="D158" s="21"/>
      <c r="E158" s="24"/>
      <c r="F158" s="24"/>
      <c r="G158" s="24"/>
      <c r="H158" s="24"/>
    </row>
    <row r="159" spans="1:8" ht="15.75" customHeight="1">
      <c r="A159" s="21"/>
      <c r="B159" s="21"/>
      <c r="C159" s="21"/>
      <c r="D159" s="21"/>
      <c r="E159" s="24"/>
      <c r="F159" s="24"/>
      <c r="G159" s="24"/>
      <c r="H159" s="24"/>
    </row>
    <row r="160" spans="1:8" ht="15.75" customHeight="1">
      <c r="A160" s="21"/>
      <c r="B160" s="21"/>
      <c r="C160" s="21"/>
      <c r="D160" s="21"/>
      <c r="E160" s="24"/>
      <c r="F160" s="24"/>
      <c r="G160" s="24"/>
      <c r="H160" s="24"/>
    </row>
    <row r="161" spans="1:8" ht="15.75" customHeight="1">
      <c r="A161" s="21"/>
      <c r="B161" s="21"/>
      <c r="C161" s="21"/>
      <c r="D161" s="21"/>
      <c r="E161" s="24"/>
      <c r="F161" s="24"/>
      <c r="G161" s="24"/>
      <c r="H161" s="24"/>
    </row>
    <row r="162" spans="1:8" ht="15.75" customHeight="1">
      <c r="A162" s="21"/>
      <c r="B162" s="21"/>
      <c r="C162" s="21"/>
      <c r="D162" s="21"/>
      <c r="E162" s="24"/>
      <c r="F162" s="24"/>
      <c r="G162" s="24"/>
      <c r="H162" s="24"/>
    </row>
    <row r="163" spans="1:8" ht="15.75" customHeight="1">
      <c r="A163" s="21"/>
      <c r="B163" s="21"/>
      <c r="C163" s="21"/>
      <c r="D163" s="21"/>
      <c r="E163" s="24"/>
      <c r="F163" s="24"/>
      <c r="G163" s="24"/>
      <c r="H163" s="24"/>
    </row>
    <row r="164" spans="1:8" ht="15.75" customHeight="1">
      <c r="A164" s="21"/>
      <c r="B164" s="21"/>
      <c r="C164" s="21"/>
      <c r="D164" s="21"/>
      <c r="E164" s="24"/>
      <c r="F164" s="24"/>
      <c r="G164" s="24"/>
      <c r="H164" s="24"/>
    </row>
    <row r="165" spans="1:8" ht="15.75" customHeight="1">
      <c r="A165" s="21"/>
      <c r="B165" s="21"/>
      <c r="C165" s="21"/>
      <c r="D165" s="21"/>
      <c r="E165" s="24"/>
      <c r="F165" s="24"/>
      <c r="G165" s="24"/>
      <c r="H165" s="24"/>
    </row>
    <row r="166" spans="1:8" ht="15.75" customHeight="1">
      <c r="A166" s="21"/>
      <c r="B166" s="21"/>
      <c r="C166" s="21"/>
      <c r="D166" s="21"/>
      <c r="E166" s="24"/>
      <c r="F166" s="24"/>
      <c r="G166" s="24"/>
      <c r="H166" s="24"/>
    </row>
    <row r="167" spans="1:8" ht="15.75" customHeight="1">
      <c r="A167" s="21"/>
      <c r="B167" s="21"/>
      <c r="C167" s="21"/>
      <c r="D167" s="21"/>
      <c r="E167" s="24"/>
      <c r="F167" s="24"/>
      <c r="G167" s="24"/>
      <c r="H167" s="24"/>
    </row>
    <row r="168" spans="1:8" ht="15.75" customHeight="1">
      <c r="A168" s="21"/>
      <c r="B168" s="21"/>
      <c r="C168" s="21"/>
      <c r="D168" s="21"/>
      <c r="E168" s="24"/>
      <c r="F168" s="24"/>
      <c r="G168" s="24"/>
      <c r="H168" s="24"/>
    </row>
    <row r="169" spans="1:8" ht="15.75" customHeight="1">
      <c r="A169" s="21"/>
      <c r="B169" s="21"/>
      <c r="C169" s="21"/>
      <c r="D169" s="21"/>
      <c r="E169" s="24"/>
      <c r="F169" s="24"/>
      <c r="G169" s="24"/>
      <c r="H169" s="24"/>
    </row>
    <row r="170" spans="1:8" ht="15.75" customHeight="1">
      <c r="A170" s="21"/>
      <c r="B170" s="21"/>
      <c r="C170" s="21"/>
      <c r="D170" s="21"/>
      <c r="E170" s="24"/>
      <c r="F170" s="24"/>
      <c r="G170" s="24"/>
      <c r="H170" s="24"/>
    </row>
    <row r="171" spans="1:8" ht="15.75" customHeight="1">
      <c r="A171" s="21"/>
      <c r="B171" s="21"/>
      <c r="C171" s="21"/>
      <c r="D171" s="21"/>
      <c r="E171" s="24"/>
      <c r="F171" s="24"/>
      <c r="G171" s="24"/>
      <c r="H171" s="24"/>
    </row>
    <row r="172" spans="1:8" ht="15.75" customHeight="1">
      <c r="A172" s="21"/>
      <c r="B172" s="21"/>
      <c r="C172" s="21"/>
      <c r="D172" s="21"/>
      <c r="E172" s="24"/>
      <c r="F172" s="24"/>
      <c r="G172" s="24"/>
      <c r="H172" s="24"/>
    </row>
    <row r="173" spans="1:8" ht="15.75" customHeight="1">
      <c r="A173" s="21"/>
      <c r="B173" s="21"/>
      <c r="C173" s="21"/>
      <c r="D173" s="21"/>
      <c r="E173" s="24"/>
      <c r="F173" s="24"/>
      <c r="G173" s="24"/>
      <c r="H173" s="24"/>
    </row>
    <row r="174" spans="1:8" ht="15.75" customHeight="1">
      <c r="A174" s="21"/>
      <c r="B174" s="21"/>
      <c r="C174" s="21"/>
      <c r="D174" s="21"/>
      <c r="E174" s="24"/>
      <c r="F174" s="24"/>
      <c r="G174" s="24"/>
      <c r="H174" s="24"/>
    </row>
    <row r="175" spans="1:8" ht="15.75" customHeight="1">
      <c r="A175" s="21"/>
      <c r="B175" s="21"/>
      <c r="C175" s="21"/>
      <c r="D175" s="21"/>
      <c r="E175" s="24"/>
      <c r="F175" s="24"/>
      <c r="G175" s="24"/>
      <c r="H175" s="24"/>
    </row>
    <row r="176" spans="1:8" ht="15.75" customHeight="1">
      <c r="A176" s="21"/>
      <c r="B176" s="21"/>
      <c r="C176" s="21"/>
      <c r="D176" s="21"/>
      <c r="E176" s="24"/>
      <c r="F176" s="24"/>
      <c r="G176" s="24"/>
      <c r="H176" s="24"/>
    </row>
    <row r="177" spans="1:8" ht="15.75" customHeight="1">
      <c r="A177" s="21"/>
      <c r="B177" s="21"/>
      <c r="C177" s="21"/>
      <c r="D177" s="21"/>
      <c r="E177" s="24"/>
      <c r="F177" s="24"/>
      <c r="G177" s="24"/>
      <c r="H177" s="24"/>
    </row>
    <row r="178" spans="1:8" ht="15.75" customHeight="1">
      <c r="A178" s="21"/>
      <c r="B178" s="21"/>
      <c r="C178" s="21"/>
      <c r="D178" s="21"/>
      <c r="E178" s="24"/>
      <c r="F178" s="24"/>
      <c r="G178" s="24"/>
      <c r="H178" s="24"/>
    </row>
    <row r="179" spans="1:8" ht="15.75" customHeight="1">
      <c r="A179" s="21"/>
      <c r="B179" s="21"/>
      <c r="C179" s="21"/>
      <c r="D179" s="21"/>
      <c r="E179" s="24"/>
      <c r="F179" s="24"/>
      <c r="G179" s="24"/>
      <c r="H179" s="24"/>
    </row>
    <row r="180" spans="1:8" ht="15.75" customHeight="1">
      <c r="A180" s="21"/>
      <c r="B180" s="21"/>
      <c r="C180" s="21"/>
      <c r="D180" s="21"/>
      <c r="E180" s="24"/>
      <c r="F180" s="24"/>
      <c r="G180" s="24"/>
      <c r="H180" s="24"/>
    </row>
    <row r="181" spans="1:8" ht="15.75" customHeight="1">
      <c r="A181" s="21"/>
      <c r="B181" s="21"/>
      <c r="C181" s="21"/>
      <c r="D181" s="21"/>
      <c r="E181" s="24"/>
      <c r="F181" s="24"/>
      <c r="G181" s="24"/>
      <c r="H181" s="24"/>
    </row>
    <row r="182" spans="1:8" ht="15.75" customHeight="1">
      <c r="A182" s="21"/>
      <c r="B182" s="21"/>
      <c r="C182" s="21"/>
      <c r="D182" s="21"/>
      <c r="E182" s="24"/>
      <c r="F182" s="24"/>
      <c r="G182" s="24"/>
      <c r="H182" s="24"/>
    </row>
    <row r="183" spans="1:8" ht="15.75" customHeight="1">
      <c r="A183" s="21"/>
      <c r="B183" s="21"/>
      <c r="C183" s="21"/>
      <c r="D183" s="21"/>
      <c r="E183" s="24"/>
      <c r="F183" s="24"/>
      <c r="G183" s="24"/>
      <c r="H183" s="24"/>
    </row>
    <row r="184" spans="1:8" ht="15.75" customHeight="1">
      <c r="A184" s="21"/>
      <c r="B184" s="21"/>
      <c r="C184" s="21"/>
      <c r="D184" s="21"/>
      <c r="E184" s="24"/>
      <c r="F184" s="24"/>
      <c r="G184" s="24"/>
      <c r="H184" s="24"/>
    </row>
    <row r="185" spans="1:8" ht="15.75" customHeight="1">
      <c r="A185" s="21"/>
      <c r="B185" s="21"/>
      <c r="C185" s="21"/>
      <c r="D185" s="21"/>
      <c r="E185" s="24"/>
      <c r="F185" s="24"/>
      <c r="G185" s="24"/>
      <c r="H185" s="24"/>
    </row>
    <row r="186" spans="1:8" ht="15.75" customHeight="1">
      <c r="A186" s="21"/>
      <c r="B186" s="21"/>
      <c r="C186" s="21"/>
      <c r="D186" s="21"/>
      <c r="E186" s="24"/>
      <c r="F186" s="24"/>
      <c r="G186" s="24"/>
      <c r="H186" s="24"/>
    </row>
    <row r="187" spans="1:8" ht="15.75" customHeight="1">
      <c r="A187" s="21"/>
      <c r="B187" s="21"/>
      <c r="C187" s="21"/>
      <c r="D187" s="21"/>
      <c r="E187" s="24"/>
      <c r="F187" s="24"/>
      <c r="G187" s="24"/>
      <c r="H187" s="24"/>
    </row>
    <row r="188" spans="1:8" ht="15.75" customHeight="1">
      <c r="A188" s="21"/>
      <c r="B188" s="21"/>
      <c r="C188" s="21"/>
      <c r="D188" s="21"/>
      <c r="E188" s="24"/>
      <c r="F188" s="24"/>
      <c r="G188" s="24"/>
      <c r="H188" s="24"/>
    </row>
    <row r="189" spans="1:8" ht="15.75" customHeight="1">
      <c r="A189" s="21"/>
      <c r="B189" s="21"/>
      <c r="C189" s="21"/>
      <c r="D189" s="21"/>
      <c r="E189" s="24"/>
      <c r="F189" s="24"/>
      <c r="G189" s="24"/>
      <c r="H189" s="24"/>
    </row>
    <row r="190" spans="1:8" ht="15.75" customHeight="1">
      <c r="A190" s="21"/>
      <c r="B190" s="21"/>
      <c r="C190" s="21"/>
      <c r="D190" s="21"/>
      <c r="E190" s="24"/>
      <c r="F190" s="24"/>
      <c r="G190" s="24"/>
      <c r="H190" s="24"/>
    </row>
    <row r="191" spans="1:8" ht="15.75" customHeight="1">
      <c r="A191" s="21"/>
      <c r="B191" s="21"/>
      <c r="C191" s="21"/>
      <c r="D191" s="21"/>
      <c r="E191" s="24"/>
      <c r="F191" s="24"/>
      <c r="G191" s="24"/>
      <c r="H191" s="24"/>
    </row>
    <row r="192" spans="1:8" ht="15.75" customHeight="1">
      <c r="A192" s="21"/>
      <c r="B192" s="21"/>
      <c r="C192" s="21"/>
      <c r="D192" s="21"/>
      <c r="E192" s="24"/>
      <c r="F192" s="24"/>
      <c r="G192" s="24"/>
      <c r="H192" s="24"/>
    </row>
    <row r="193" spans="1:8" ht="15.75" customHeight="1">
      <c r="A193" s="21"/>
      <c r="B193" s="21"/>
      <c r="C193" s="21"/>
      <c r="D193" s="21"/>
      <c r="E193" s="24"/>
      <c r="F193" s="24"/>
      <c r="G193" s="24"/>
      <c r="H193" s="24"/>
    </row>
    <row r="194" spans="1:8" ht="15.75" customHeight="1">
      <c r="A194" s="21"/>
      <c r="B194" s="21"/>
      <c r="C194" s="21"/>
      <c r="D194" s="21"/>
      <c r="E194" s="24"/>
      <c r="F194" s="24"/>
      <c r="G194" s="24"/>
      <c r="H194" s="24"/>
    </row>
    <row r="195" spans="1:8" ht="15.75" customHeight="1">
      <c r="A195" s="21"/>
      <c r="B195" s="21"/>
      <c r="C195" s="21"/>
      <c r="D195" s="21"/>
      <c r="E195" s="24"/>
      <c r="F195" s="24"/>
      <c r="G195" s="24"/>
      <c r="H195" s="24"/>
    </row>
    <row r="196" spans="1:8" ht="15.75" customHeight="1">
      <c r="A196" s="21"/>
      <c r="B196" s="21"/>
      <c r="C196" s="21"/>
      <c r="D196" s="21"/>
      <c r="E196" s="24"/>
      <c r="F196" s="24"/>
      <c r="G196" s="24"/>
      <c r="H196" s="24"/>
    </row>
    <row r="197" spans="1:8" ht="15.75" customHeight="1">
      <c r="A197" s="21"/>
      <c r="B197" s="21"/>
      <c r="C197" s="21"/>
      <c r="D197" s="21"/>
      <c r="E197" s="24"/>
      <c r="F197" s="24"/>
      <c r="G197" s="24"/>
      <c r="H197" s="24"/>
    </row>
    <row r="198" spans="1:8" ht="15.75" customHeight="1">
      <c r="A198" s="21"/>
      <c r="B198" s="21"/>
      <c r="C198" s="21"/>
      <c r="D198" s="21"/>
      <c r="E198" s="24"/>
      <c r="F198" s="24"/>
      <c r="G198" s="24"/>
      <c r="H198" s="24"/>
    </row>
    <row r="199" spans="1:8" ht="15.75" customHeight="1">
      <c r="A199" s="21"/>
      <c r="B199" s="21"/>
      <c r="C199" s="21"/>
      <c r="D199" s="21"/>
      <c r="E199" s="24"/>
      <c r="F199" s="24"/>
      <c r="G199" s="24"/>
      <c r="H199" s="24"/>
    </row>
    <row r="200" spans="1:8" ht="15.75" customHeight="1">
      <c r="A200" s="21"/>
      <c r="B200" s="21"/>
      <c r="C200" s="21"/>
      <c r="D200" s="21"/>
      <c r="E200" s="24"/>
      <c r="F200" s="24"/>
      <c r="G200" s="24"/>
      <c r="H200" s="24"/>
    </row>
    <row r="201" spans="1:8" ht="15.75" customHeight="1">
      <c r="A201" s="21"/>
      <c r="B201" s="21"/>
      <c r="C201" s="21"/>
      <c r="D201" s="21"/>
      <c r="E201" s="24"/>
      <c r="F201" s="24"/>
      <c r="G201" s="24"/>
      <c r="H201" s="24"/>
    </row>
    <row r="202" spans="1:8" ht="15.75" customHeight="1">
      <c r="A202" s="21"/>
      <c r="B202" s="21"/>
      <c r="C202" s="21"/>
      <c r="D202" s="21"/>
      <c r="E202" s="24"/>
      <c r="F202" s="24"/>
      <c r="G202" s="24"/>
      <c r="H202" s="24"/>
    </row>
    <row r="203" spans="1:8" ht="15.75" customHeight="1">
      <c r="A203" s="21"/>
      <c r="B203" s="21"/>
      <c r="C203" s="21"/>
      <c r="D203" s="21"/>
      <c r="E203" s="24"/>
      <c r="F203" s="24"/>
      <c r="G203" s="24"/>
      <c r="H203" s="24"/>
    </row>
    <row r="204" spans="1:8" ht="15.75" customHeight="1">
      <c r="A204" s="21"/>
      <c r="B204" s="21"/>
      <c r="C204" s="21"/>
      <c r="D204" s="21"/>
      <c r="E204" s="24"/>
      <c r="F204" s="24"/>
      <c r="G204" s="24"/>
      <c r="H204" s="24"/>
    </row>
    <row r="205" spans="1:8" ht="15.75" customHeight="1">
      <c r="A205" s="21"/>
      <c r="B205" s="21"/>
      <c r="C205" s="21"/>
      <c r="D205" s="21"/>
      <c r="E205" s="24"/>
      <c r="F205" s="24"/>
      <c r="G205" s="24"/>
      <c r="H205" s="24"/>
    </row>
    <row r="206" spans="1:8" ht="15.75" customHeight="1">
      <c r="A206" s="21"/>
      <c r="B206" s="21"/>
      <c r="C206" s="21"/>
      <c r="D206" s="21"/>
      <c r="E206" s="24"/>
      <c r="F206" s="24"/>
      <c r="G206" s="24"/>
      <c r="H206" s="24"/>
    </row>
    <row r="207" spans="1:8" ht="15.75" customHeight="1">
      <c r="A207" s="21"/>
      <c r="B207" s="21"/>
      <c r="C207" s="21"/>
      <c r="D207" s="21"/>
      <c r="E207" s="24"/>
      <c r="F207" s="24"/>
      <c r="G207" s="24"/>
      <c r="H207" s="24"/>
    </row>
    <row r="208" spans="1:8" ht="15.75" customHeight="1">
      <c r="A208" s="21"/>
      <c r="B208" s="21"/>
      <c r="C208" s="21"/>
      <c r="D208" s="21"/>
      <c r="E208" s="24"/>
      <c r="F208" s="24"/>
      <c r="G208" s="24"/>
      <c r="H208" s="24"/>
    </row>
    <row r="209" spans="1:8" ht="15.75" customHeight="1">
      <c r="A209" s="21"/>
      <c r="B209" s="21"/>
      <c r="C209" s="21"/>
      <c r="D209" s="21"/>
      <c r="E209" s="24"/>
      <c r="F209" s="24"/>
      <c r="G209" s="24"/>
      <c r="H209" s="24"/>
    </row>
    <row r="210" spans="1:8" ht="15.75" customHeight="1">
      <c r="A210" s="21"/>
      <c r="B210" s="21"/>
      <c r="C210" s="21"/>
      <c r="D210" s="21"/>
      <c r="E210" s="24"/>
      <c r="F210" s="24"/>
      <c r="G210" s="24"/>
      <c r="H210" s="24"/>
    </row>
    <row r="211" spans="1:8" ht="15.75" customHeight="1">
      <c r="A211" s="21"/>
      <c r="B211" s="21"/>
      <c r="C211" s="21"/>
      <c r="D211" s="21"/>
      <c r="E211" s="24"/>
      <c r="F211" s="24"/>
      <c r="G211" s="24"/>
      <c r="H211" s="24"/>
    </row>
    <row r="212" spans="1:8" ht="15.75" customHeight="1">
      <c r="A212" s="21"/>
      <c r="B212" s="21"/>
      <c r="C212" s="21"/>
      <c r="D212" s="21"/>
      <c r="E212" s="24"/>
      <c r="F212" s="24"/>
      <c r="G212" s="24"/>
      <c r="H212" s="24"/>
    </row>
    <row r="213" spans="1:8" ht="15.75" customHeight="1">
      <c r="A213" s="21"/>
      <c r="B213" s="21"/>
      <c r="C213" s="21"/>
      <c r="D213" s="21"/>
      <c r="E213" s="24"/>
      <c r="F213" s="24"/>
      <c r="G213" s="24"/>
      <c r="H213" s="24"/>
    </row>
    <row r="214" spans="1:8" ht="15.75" customHeight="1">
      <c r="A214" s="21"/>
      <c r="B214" s="21"/>
      <c r="C214" s="21"/>
      <c r="D214" s="21"/>
      <c r="E214" s="24"/>
      <c r="F214" s="24"/>
      <c r="G214" s="24"/>
      <c r="H214" s="24"/>
    </row>
    <row r="215" spans="1:8" ht="15.75" customHeight="1">
      <c r="A215" s="21"/>
      <c r="B215" s="21"/>
      <c r="C215" s="21"/>
      <c r="D215" s="21"/>
      <c r="E215" s="24"/>
      <c r="F215" s="24"/>
      <c r="G215" s="24"/>
      <c r="H215" s="24"/>
    </row>
    <row r="216" spans="1:8" ht="15.75" customHeight="1">
      <c r="A216" s="21"/>
      <c r="B216" s="21"/>
      <c r="C216" s="21"/>
      <c r="D216" s="21"/>
      <c r="E216" s="24"/>
      <c r="F216" s="24"/>
      <c r="G216" s="24"/>
      <c r="H216" s="24"/>
    </row>
    <row r="217" spans="1:8" ht="15.75" customHeight="1">
      <c r="A217" s="21"/>
      <c r="B217" s="21"/>
      <c r="C217" s="21"/>
      <c r="D217" s="21"/>
      <c r="E217" s="24"/>
      <c r="F217" s="24"/>
      <c r="G217" s="24"/>
      <c r="H217" s="24"/>
    </row>
    <row r="218" spans="1:8" ht="15.75" customHeight="1">
      <c r="A218" s="21"/>
      <c r="B218" s="21"/>
      <c r="C218" s="21"/>
      <c r="D218" s="21"/>
      <c r="E218" s="24"/>
      <c r="F218" s="24"/>
      <c r="G218" s="24"/>
      <c r="H218" s="24"/>
    </row>
    <row r="219" spans="1:8" ht="15.75" customHeight="1">
      <c r="A219" s="21"/>
      <c r="B219" s="21"/>
      <c r="C219" s="21"/>
      <c r="D219" s="21"/>
      <c r="E219" s="24"/>
      <c r="F219" s="24"/>
      <c r="G219" s="24"/>
      <c r="H219" s="24"/>
    </row>
    <row r="220" spans="1:8" ht="15.75" customHeight="1">
      <c r="A220" s="21"/>
      <c r="B220" s="21"/>
      <c r="C220" s="21"/>
      <c r="D220" s="21"/>
      <c r="E220" s="24"/>
      <c r="F220" s="24"/>
      <c r="G220" s="24"/>
      <c r="H220" s="24"/>
    </row>
    <row r="221" spans="1:8" ht="15.75" customHeight="1">
      <c r="A221" s="21"/>
      <c r="B221" s="21"/>
      <c r="C221" s="21"/>
      <c r="D221" s="21"/>
      <c r="E221" s="24"/>
      <c r="F221" s="24"/>
      <c r="G221" s="24"/>
      <c r="H221" s="24"/>
    </row>
    <row r="222" spans="1:8" ht="15.75" customHeight="1">
      <c r="A222" s="21"/>
      <c r="B222" s="21"/>
      <c r="C222" s="21"/>
      <c r="D222" s="21"/>
      <c r="E222" s="24"/>
      <c r="F222" s="24"/>
      <c r="G222" s="24"/>
      <c r="H222" s="24"/>
    </row>
    <row r="223" spans="1:8" ht="15.75" customHeight="1">
      <c r="A223" s="21"/>
      <c r="B223" s="21"/>
      <c r="C223" s="21"/>
      <c r="D223" s="21"/>
      <c r="E223" s="24"/>
      <c r="F223" s="24"/>
      <c r="G223" s="24"/>
      <c r="H223" s="24"/>
    </row>
    <row r="224" spans="1:8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">
    <mergeCell ref="B3:B4"/>
    <mergeCell ref="C3:C4"/>
    <mergeCell ref="D3:D4"/>
  </mergeCells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Q573"/>
  <sheetViews>
    <sheetView tabSelected="1" workbookViewId="0">
      <selection activeCell="B155" sqref="B155"/>
    </sheetView>
  </sheetViews>
  <sheetFormatPr defaultColWidth="14.44140625" defaultRowHeight="15" customHeight="1"/>
  <cols>
    <col min="1" max="1" width="13.109375" customWidth="1"/>
    <col min="2" max="2" width="64.5546875" customWidth="1"/>
    <col min="3" max="3" width="11" customWidth="1"/>
    <col min="4" max="4" width="33.88671875" customWidth="1"/>
    <col min="5" max="5" width="14" customWidth="1"/>
    <col min="6" max="6" width="19.44140625" customWidth="1"/>
    <col min="7" max="7" width="25.44140625" customWidth="1"/>
    <col min="8" max="8" width="15.33203125" customWidth="1"/>
    <col min="9" max="9" width="25.5546875" customWidth="1"/>
    <col min="10" max="10" width="13.88671875" customWidth="1"/>
    <col min="11" max="11" width="19.5546875" customWidth="1"/>
    <col min="12" max="12" width="22.6640625" customWidth="1"/>
    <col min="13" max="13" width="16.6640625" customWidth="1"/>
    <col min="14" max="14" width="16.88671875" customWidth="1"/>
    <col min="15" max="15" width="16.44140625" customWidth="1"/>
    <col min="16" max="16" width="14.6640625" customWidth="1"/>
    <col min="17" max="17" width="21.88671875" customWidth="1"/>
    <col min="18" max="19" width="19.5546875" customWidth="1"/>
    <col min="20" max="20" width="15.88671875" customWidth="1"/>
    <col min="21" max="21" width="22.88671875" customWidth="1"/>
    <col min="22" max="22" width="21.88671875" customWidth="1"/>
    <col min="23" max="24" width="17.6640625" customWidth="1"/>
    <col min="25" max="25" width="18.5546875" customWidth="1"/>
    <col min="26" max="26" width="20" customWidth="1"/>
    <col min="27" max="27" width="21.88671875" customWidth="1"/>
    <col min="29" max="32" width="20.5546875" customWidth="1"/>
    <col min="33" max="33" width="16.44140625" customWidth="1"/>
    <col min="34" max="34" width="14.88671875" customWidth="1"/>
    <col min="35" max="35" width="15.33203125" customWidth="1"/>
    <col min="36" max="36" width="14" customWidth="1"/>
    <col min="37" max="37" width="20.109375" customWidth="1"/>
    <col min="38" max="38" width="14.109375" customWidth="1"/>
    <col min="39" max="39" width="14.6640625" customWidth="1"/>
    <col min="40" max="41" width="15.33203125" customWidth="1"/>
    <col min="42" max="42" width="21" customWidth="1"/>
    <col min="43" max="43" width="11.6640625" customWidth="1"/>
  </cols>
  <sheetData>
    <row r="1" spans="1:43" ht="33" customHeight="1">
      <c r="A1" s="187" t="s">
        <v>0</v>
      </c>
      <c r="B1" s="188"/>
      <c r="C1" s="188"/>
      <c r="D1" s="188"/>
      <c r="E1" s="188"/>
      <c r="F1" s="188"/>
      <c r="G1" s="189"/>
      <c r="H1" s="25"/>
      <c r="I1" s="191" t="s">
        <v>198</v>
      </c>
      <c r="J1" s="188"/>
      <c r="K1" s="188"/>
      <c r="L1" s="189"/>
      <c r="M1" s="25"/>
      <c r="N1" s="191" t="s">
        <v>199</v>
      </c>
      <c r="O1" s="188"/>
      <c r="P1" s="188"/>
      <c r="Q1" s="189"/>
      <c r="R1" s="25"/>
      <c r="S1" s="191" t="s">
        <v>200</v>
      </c>
      <c r="T1" s="188"/>
      <c r="U1" s="188"/>
      <c r="V1" s="189"/>
      <c r="W1" s="25"/>
      <c r="X1" s="191" t="s">
        <v>201</v>
      </c>
      <c r="Y1" s="188"/>
      <c r="Z1" s="188"/>
      <c r="AA1" s="189"/>
      <c r="AB1" s="25"/>
      <c r="AC1" s="191" t="s">
        <v>202</v>
      </c>
      <c r="AD1" s="188"/>
      <c r="AE1" s="188"/>
      <c r="AF1" s="188"/>
      <c r="AG1" s="189"/>
      <c r="AH1" s="191" t="s">
        <v>202</v>
      </c>
      <c r="AI1" s="188"/>
      <c r="AJ1" s="188"/>
      <c r="AK1" s="188"/>
      <c r="AL1" s="189"/>
      <c r="AM1" s="191" t="s">
        <v>202</v>
      </c>
      <c r="AN1" s="188"/>
      <c r="AO1" s="188"/>
      <c r="AP1" s="188"/>
      <c r="AQ1" s="189"/>
    </row>
    <row r="2" spans="1:43" ht="14.4">
      <c r="A2" s="2"/>
      <c r="B2" s="2"/>
      <c r="C2" s="26"/>
      <c r="D2" s="192" t="s">
        <v>292</v>
      </c>
      <c r="E2" s="188"/>
      <c r="F2" s="188"/>
      <c r="G2" s="188"/>
      <c r="H2" s="189"/>
      <c r="I2" s="192" t="s">
        <v>292</v>
      </c>
      <c r="J2" s="188"/>
      <c r="K2" s="188"/>
      <c r="L2" s="188"/>
      <c r="M2" s="189"/>
      <c r="N2" s="190">
        <v>45979</v>
      </c>
      <c r="O2" s="188"/>
      <c r="P2" s="188"/>
      <c r="Q2" s="188"/>
      <c r="R2" s="189"/>
      <c r="S2" s="190">
        <v>45979</v>
      </c>
      <c r="T2" s="188"/>
      <c r="U2" s="188"/>
      <c r="V2" s="188"/>
      <c r="W2" s="189"/>
      <c r="X2" s="190">
        <v>45979</v>
      </c>
      <c r="Y2" s="188"/>
      <c r="Z2" s="188"/>
      <c r="AA2" s="188"/>
      <c r="AB2" s="189"/>
      <c r="AC2" s="192" t="s">
        <v>292</v>
      </c>
      <c r="AD2" s="188"/>
      <c r="AE2" s="188"/>
      <c r="AF2" s="188"/>
      <c r="AG2" s="189"/>
      <c r="AH2" s="192" t="s">
        <v>292</v>
      </c>
      <c r="AI2" s="188"/>
      <c r="AJ2" s="188"/>
      <c r="AK2" s="188"/>
      <c r="AL2" s="189"/>
      <c r="AM2" s="192" t="s">
        <v>292</v>
      </c>
      <c r="AN2" s="188"/>
      <c r="AO2" s="188"/>
      <c r="AP2" s="188"/>
      <c r="AQ2" s="189"/>
    </row>
    <row r="3" spans="1:43" ht="69.599999999999994">
      <c r="A3" s="2" t="s">
        <v>169</v>
      </c>
      <c r="B3" s="2" t="s">
        <v>1</v>
      </c>
      <c r="C3" s="26" t="s">
        <v>2</v>
      </c>
      <c r="D3" s="2" t="s">
        <v>203</v>
      </c>
      <c r="E3" s="2" t="s">
        <v>4</v>
      </c>
      <c r="F3" s="27" t="s">
        <v>204</v>
      </c>
      <c r="G3" s="2" t="s">
        <v>205</v>
      </c>
      <c r="H3" s="28" t="s">
        <v>206</v>
      </c>
      <c r="I3" s="2" t="s">
        <v>3</v>
      </c>
      <c r="J3" s="29" t="s">
        <v>4</v>
      </c>
      <c r="K3" s="27" t="s">
        <v>204</v>
      </c>
      <c r="L3" s="2" t="s">
        <v>205</v>
      </c>
      <c r="M3" s="28" t="s">
        <v>206</v>
      </c>
      <c r="N3" s="2" t="s">
        <v>3</v>
      </c>
      <c r="O3" s="2" t="s">
        <v>4</v>
      </c>
      <c r="P3" s="27" t="s">
        <v>204</v>
      </c>
      <c r="Q3" s="2" t="s">
        <v>205</v>
      </c>
      <c r="R3" s="28" t="s">
        <v>206</v>
      </c>
      <c r="S3" s="2" t="s">
        <v>3</v>
      </c>
      <c r="T3" s="2" t="s">
        <v>4</v>
      </c>
      <c r="U3" s="2" t="s">
        <v>204</v>
      </c>
      <c r="V3" s="2" t="s">
        <v>205</v>
      </c>
      <c r="W3" s="28" t="s">
        <v>206</v>
      </c>
      <c r="X3" s="2" t="s">
        <v>3</v>
      </c>
      <c r="Y3" s="2" t="s">
        <v>4</v>
      </c>
      <c r="Z3" s="2" t="s">
        <v>204</v>
      </c>
      <c r="AA3" s="2" t="s">
        <v>205</v>
      </c>
      <c r="AB3" s="28" t="s">
        <v>206</v>
      </c>
      <c r="AC3" s="2" t="s">
        <v>3</v>
      </c>
      <c r="AD3" s="2" t="s">
        <v>4</v>
      </c>
      <c r="AE3" s="2" t="s">
        <v>204</v>
      </c>
      <c r="AF3" s="2" t="s">
        <v>205</v>
      </c>
      <c r="AG3" s="28" t="s">
        <v>206</v>
      </c>
      <c r="AH3" s="2" t="s">
        <v>3</v>
      </c>
      <c r="AI3" s="2" t="s">
        <v>4</v>
      </c>
      <c r="AJ3" s="2" t="s">
        <v>204</v>
      </c>
      <c r="AK3" s="2" t="s">
        <v>205</v>
      </c>
      <c r="AL3" s="28" t="s">
        <v>206</v>
      </c>
      <c r="AM3" s="2" t="s">
        <v>3</v>
      </c>
      <c r="AN3" s="2" t="s">
        <v>4</v>
      </c>
      <c r="AO3" s="2" t="s">
        <v>204</v>
      </c>
      <c r="AP3" s="2" t="s">
        <v>205</v>
      </c>
      <c r="AQ3" s="28" t="s">
        <v>206</v>
      </c>
    </row>
    <row r="4" spans="1:43" ht="14.4">
      <c r="A4" s="18" t="s">
        <v>8</v>
      </c>
      <c r="B4" s="15" t="s">
        <v>9</v>
      </c>
      <c r="C4" s="15">
        <v>1</v>
      </c>
      <c r="D4" s="95" t="s">
        <v>290</v>
      </c>
      <c r="E4" s="96">
        <v>384875</v>
      </c>
      <c r="F4" s="97">
        <v>46003</v>
      </c>
      <c r="G4" s="98">
        <v>46010</v>
      </c>
      <c r="H4" s="89" t="e">
        <f t="shared" ref="H4:H124" ca="1" si="0">_xludf.DAYS(G4,F4)</f>
        <v>#NAME?</v>
      </c>
      <c r="I4" s="90" t="s">
        <v>293</v>
      </c>
      <c r="J4" s="90">
        <v>360878</v>
      </c>
      <c r="K4" s="60" t="s">
        <v>215</v>
      </c>
      <c r="L4" s="98"/>
      <c r="M4" s="5">
        <f t="shared" ref="M4:M37" si="1">NETWORKDAYS(K4,L4)</f>
        <v>-32828</v>
      </c>
      <c r="N4" s="95" t="s">
        <v>294</v>
      </c>
      <c r="O4" s="96">
        <v>360862</v>
      </c>
      <c r="P4" s="97" t="s">
        <v>215</v>
      </c>
      <c r="Q4" s="98">
        <v>45967</v>
      </c>
      <c r="R4" s="5"/>
      <c r="S4" s="5"/>
      <c r="T4" s="5"/>
      <c r="U4" s="5"/>
      <c r="V4" s="5"/>
      <c r="W4" s="5"/>
      <c r="X4" s="99"/>
      <c r="Y4" s="99"/>
      <c r="Z4" s="99"/>
      <c r="AA4" s="99"/>
      <c r="AB4" s="100"/>
      <c r="AC4" s="100"/>
      <c r="AD4" s="100"/>
      <c r="AE4" s="100"/>
      <c r="AF4" s="100"/>
      <c r="AG4" s="101"/>
      <c r="AH4" s="101"/>
      <c r="AI4" s="101"/>
      <c r="AJ4" s="101"/>
      <c r="AK4" s="101"/>
      <c r="AL4" s="101"/>
      <c r="AM4" s="101"/>
      <c r="AN4" s="101"/>
      <c r="AO4" s="101"/>
      <c r="AP4" s="101"/>
      <c r="AQ4" s="101"/>
    </row>
    <row r="5" spans="1:43" ht="14.4">
      <c r="A5" s="18" t="s">
        <v>8</v>
      </c>
      <c r="B5" s="15" t="s">
        <v>10</v>
      </c>
      <c r="C5" s="15">
        <v>1</v>
      </c>
      <c r="D5" s="95" t="s">
        <v>42</v>
      </c>
      <c r="E5" s="96">
        <v>373740</v>
      </c>
      <c r="F5" s="97">
        <v>45959</v>
      </c>
      <c r="G5" s="98">
        <v>45967</v>
      </c>
      <c r="H5" s="89" t="e">
        <f t="shared" ca="1" si="0"/>
        <v>#NAME?</v>
      </c>
      <c r="L5" s="36"/>
      <c r="M5" s="5">
        <f t="shared" si="1"/>
        <v>0</v>
      </c>
      <c r="N5" s="90" t="s">
        <v>232</v>
      </c>
      <c r="O5" s="90">
        <v>235320</v>
      </c>
      <c r="P5" s="60" t="s">
        <v>288</v>
      </c>
      <c r="Q5" s="37"/>
      <c r="R5" s="15"/>
      <c r="S5" s="15"/>
      <c r="T5" s="15"/>
      <c r="U5" s="15"/>
      <c r="V5" s="15"/>
      <c r="W5" s="15"/>
      <c r="X5" s="102"/>
      <c r="Y5" s="102"/>
      <c r="Z5" s="102"/>
      <c r="AA5" s="102"/>
      <c r="AB5" s="103"/>
      <c r="AC5" s="103"/>
      <c r="AD5" s="103"/>
      <c r="AE5" s="100"/>
      <c r="AF5" s="100"/>
      <c r="AG5" s="104"/>
      <c r="AH5" s="104"/>
      <c r="AI5" s="104"/>
      <c r="AJ5" s="104"/>
      <c r="AK5" s="104"/>
      <c r="AL5" s="104"/>
      <c r="AM5" s="104"/>
      <c r="AN5" s="104"/>
      <c r="AO5" s="104"/>
      <c r="AP5" s="104"/>
      <c r="AQ5" s="104"/>
    </row>
    <row r="6" spans="1:43" ht="14.4">
      <c r="A6" s="18" t="s">
        <v>8</v>
      </c>
      <c r="B6" s="19" t="s">
        <v>11</v>
      </c>
      <c r="C6" s="15">
        <v>1</v>
      </c>
      <c r="D6" s="95" t="s">
        <v>214</v>
      </c>
      <c r="E6" s="96">
        <v>363245</v>
      </c>
      <c r="F6" s="105">
        <v>45668</v>
      </c>
      <c r="G6" s="98">
        <v>45967</v>
      </c>
      <c r="H6" s="89" t="e">
        <f t="shared" ca="1" si="0"/>
        <v>#NAME?</v>
      </c>
      <c r="I6" s="90" t="s">
        <v>232</v>
      </c>
      <c r="J6" s="90">
        <v>235320</v>
      </c>
      <c r="K6" s="60" t="s">
        <v>288</v>
      </c>
      <c r="L6" s="38"/>
      <c r="M6" s="5">
        <f t="shared" si="1"/>
        <v>-32622</v>
      </c>
      <c r="N6" s="39"/>
      <c r="O6" s="39"/>
      <c r="P6" s="106"/>
      <c r="Q6" s="40"/>
      <c r="R6" s="15"/>
      <c r="S6" s="15"/>
      <c r="T6" s="15"/>
      <c r="U6" s="15"/>
      <c r="V6" s="15"/>
      <c r="W6" s="15"/>
      <c r="X6" s="102"/>
      <c r="Y6" s="102"/>
      <c r="Z6" s="102"/>
      <c r="AA6" s="102"/>
      <c r="AB6" s="103"/>
      <c r="AC6" s="103"/>
      <c r="AD6" s="103"/>
      <c r="AE6" s="100"/>
      <c r="AF6" s="100"/>
      <c r="AG6" s="104"/>
      <c r="AH6" s="104"/>
      <c r="AI6" s="104"/>
      <c r="AJ6" s="104"/>
      <c r="AK6" s="104"/>
      <c r="AL6" s="104"/>
      <c r="AM6" s="104"/>
      <c r="AN6" s="104"/>
      <c r="AO6" s="104"/>
      <c r="AP6" s="104"/>
      <c r="AQ6" s="104"/>
    </row>
    <row r="7" spans="1:43" ht="14.4">
      <c r="A7" s="18" t="s">
        <v>8</v>
      </c>
      <c r="B7" s="15" t="s">
        <v>12</v>
      </c>
      <c r="C7" s="15">
        <v>1</v>
      </c>
      <c r="D7" s="96" t="s">
        <v>295</v>
      </c>
      <c r="E7" s="96">
        <v>383021</v>
      </c>
      <c r="F7" s="105">
        <v>45912</v>
      </c>
      <c r="G7" s="68">
        <v>46008</v>
      </c>
      <c r="H7" s="89" t="e">
        <f t="shared" ca="1" si="0"/>
        <v>#NAME?</v>
      </c>
      <c r="I7" s="90" t="s">
        <v>232</v>
      </c>
      <c r="J7" s="90">
        <v>235320</v>
      </c>
      <c r="K7" s="60" t="s">
        <v>288</v>
      </c>
      <c r="L7" s="33"/>
      <c r="M7" s="5">
        <f t="shared" si="1"/>
        <v>-32622</v>
      </c>
      <c r="N7" s="90" t="s">
        <v>35</v>
      </c>
      <c r="O7" s="90">
        <v>362318</v>
      </c>
      <c r="P7" s="60" t="s">
        <v>215</v>
      </c>
      <c r="Q7" s="42"/>
      <c r="R7" s="5"/>
      <c r="S7" s="6"/>
      <c r="T7" s="6"/>
      <c r="U7" s="10"/>
      <c r="V7" s="43"/>
      <c r="W7" s="15"/>
      <c r="X7" s="102"/>
      <c r="Y7" s="102"/>
      <c r="Z7" s="102"/>
      <c r="AA7" s="102"/>
      <c r="AB7" s="103"/>
      <c r="AC7" s="103"/>
      <c r="AD7" s="103"/>
      <c r="AE7" s="100"/>
      <c r="AF7" s="100"/>
      <c r="AG7" s="104"/>
      <c r="AH7" s="104"/>
      <c r="AI7" s="104"/>
      <c r="AJ7" s="104"/>
      <c r="AK7" s="104"/>
      <c r="AL7" s="104"/>
      <c r="AM7" s="104"/>
      <c r="AN7" s="104"/>
      <c r="AO7" s="104"/>
      <c r="AP7" s="104"/>
      <c r="AQ7" s="104"/>
    </row>
    <row r="8" spans="1:43" ht="14.4">
      <c r="A8" s="18" t="s">
        <v>8</v>
      </c>
      <c r="B8" s="15" t="s">
        <v>14</v>
      </c>
      <c r="C8" s="15">
        <v>1</v>
      </c>
      <c r="D8" s="96" t="s">
        <v>296</v>
      </c>
      <c r="E8" s="96">
        <v>383688</v>
      </c>
      <c r="F8" s="97">
        <v>46001</v>
      </c>
      <c r="G8" s="98">
        <v>46009</v>
      </c>
      <c r="H8" s="89" t="e">
        <f t="shared" ca="1" si="0"/>
        <v>#NAME?</v>
      </c>
      <c r="I8" s="15"/>
      <c r="J8" s="15"/>
      <c r="K8" s="14"/>
      <c r="L8" s="33"/>
      <c r="M8" s="5">
        <f t="shared" si="1"/>
        <v>0</v>
      </c>
      <c r="N8" s="44"/>
      <c r="O8" s="44"/>
      <c r="P8" s="45"/>
      <c r="Q8" s="46"/>
      <c r="R8" s="5"/>
      <c r="S8" s="15"/>
      <c r="T8" s="15"/>
      <c r="U8" s="15"/>
      <c r="V8" s="15"/>
      <c r="W8" s="15"/>
      <c r="X8" s="102"/>
      <c r="Y8" s="102"/>
      <c r="Z8" s="102"/>
      <c r="AA8" s="102"/>
      <c r="AB8" s="103"/>
      <c r="AC8" s="103"/>
      <c r="AD8" s="103"/>
      <c r="AE8" s="100"/>
      <c r="AF8" s="100"/>
      <c r="AG8" s="104"/>
      <c r="AH8" s="104"/>
      <c r="AI8" s="104"/>
      <c r="AJ8" s="104"/>
      <c r="AK8" s="104"/>
      <c r="AL8" s="104"/>
      <c r="AM8" s="104"/>
      <c r="AN8" s="104"/>
      <c r="AO8" s="104"/>
      <c r="AP8" s="104"/>
      <c r="AQ8" s="104"/>
    </row>
    <row r="9" spans="1:43" ht="14.4">
      <c r="A9" s="18" t="s">
        <v>8</v>
      </c>
      <c r="B9" s="15" t="s">
        <v>15</v>
      </c>
      <c r="C9" s="15">
        <v>1</v>
      </c>
      <c r="D9" s="95" t="s">
        <v>294</v>
      </c>
      <c r="E9" s="96">
        <v>360862</v>
      </c>
      <c r="F9" s="97">
        <v>45959</v>
      </c>
      <c r="G9" s="98">
        <v>45967</v>
      </c>
      <c r="H9" s="89" t="e">
        <f t="shared" ca="1" si="0"/>
        <v>#NAME?</v>
      </c>
      <c r="I9" s="95" t="s">
        <v>18</v>
      </c>
      <c r="J9" s="96">
        <v>360875</v>
      </c>
      <c r="K9" s="97">
        <v>45959</v>
      </c>
      <c r="L9" s="98">
        <v>46015</v>
      </c>
      <c r="M9" s="5">
        <f t="shared" si="1"/>
        <v>41</v>
      </c>
      <c r="N9" s="90" t="s">
        <v>232</v>
      </c>
      <c r="O9" s="90">
        <v>235320</v>
      </c>
      <c r="P9" s="90" t="s">
        <v>288</v>
      </c>
      <c r="Q9" s="107"/>
      <c r="R9" s="15"/>
      <c r="S9" s="90" t="s">
        <v>297</v>
      </c>
      <c r="T9" s="90">
        <v>383691</v>
      </c>
      <c r="U9" s="108">
        <v>45942</v>
      </c>
      <c r="V9" s="15"/>
      <c r="W9" s="15"/>
      <c r="X9" s="102"/>
      <c r="Y9" s="102"/>
      <c r="Z9" s="102"/>
      <c r="AA9" s="102"/>
      <c r="AB9" s="103"/>
      <c r="AC9" s="103"/>
      <c r="AD9" s="103"/>
      <c r="AE9" s="100"/>
      <c r="AF9" s="100"/>
      <c r="AG9" s="104"/>
      <c r="AH9" s="104"/>
      <c r="AI9" s="104"/>
      <c r="AJ9" s="104"/>
      <c r="AK9" s="104"/>
      <c r="AL9" s="104"/>
      <c r="AM9" s="104"/>
      <c r="AN9" s="104"/>
      <c r="AO9" s="104"/>
      <c r="AP9" s="104"/>
      <c r="AQ9" s="104"/>
    </row>
    <row r="10" spans="1:43" ht="14.4">
      <c r="A10" s="18" t="s">
        <v>8</v>
      </c>
      <c r="B10" s="15" t="s">
        <v>16</v>
      </c>
      <c r="C10" s="15">
        <v>1</v>
      </c>
      <c r="D10" s="95" t="s">
        <v>298</v>
      </c>
      <c r="E10" s="96">
        <v>381766</v>
      </c>
      <c r="F10" s="97">
        <v>45997</v>
      </c>
      <c r="G10" s="98">
        <v>46008</v>
      </c>
      <c r="H10" s="89" t="e">
        <f t="shared" ca="1" si="0"/>
        <v>#NAME?</v>
      </c>
      <c r="I10" s="95" t="s">
        <v>214</v>
      </c>
      <c r="J10" s="96">
        <v>363245</v>
      </c>
      <c r="K10" s="97">
        <v>45668</v>
      </c>
      <c r="L10" s="98">
        <v>45967</v>
      </c>
      <c r="M10" s="5">
        <f t="shared" si="1"/>
        <v>214</v>
      </c>
      <c r="N10" s="95" t="s">
        <v>18</v>
      </c>
      <c r="O10" s="96">
        <v>360875</v>
      </c>
      <c r="P10" s="97">
        <v>45959</v>
      </c>
      <c r="Q10" s="98">
        <v>46015</v>
      </c>
      <c r="R10" s="15"/>
      <c r="S10" s="90" t="s">
        <v>232</v>
      </c>
      <c r="T10" s="90">
        <v>235320</v>
      </c>
      <c r="U10" s="90" t="s">
        <v>288</v>
      </c>
      <c r="V10" s="15"/>
      <c r="W10" s="15"/>
      <c r="X10" s="102"/>
      <c r="Y10" s="102"/>
      <c r="Z10" s="102"/>
      <c r="AA10" s="102"/>
      <c r="AB10" s="103"/>
      <c r="AC10" s="103"/>
      <c r="AD10" s="103"/>
      <c r="AE10" s="100"/>
      <c r="AF10" s="100"/>
      <c r="AG10" s="104"/>
      <c r="AH10" s="104"/>
      <c r="AI10" s="104"/>
      <c r="AJ10" s="104"/>
      <c r="AK10" s="104"/>
      <c r="AL10" s="104"/>
      <c r="AM10" s="104"/>
      <c r="AN10" s="104"/>
      <c r="AO10" s="104"/>
      <c r="AP10" s="104"/>
      <c r="AQ10" s="104"/>
    </row>
    <row r="11" spans="1:43" ht="14.4">
      <c r="A11" s="18" t="s">
        <v>8</v>
      </c>
      <c r="B11" s="15" t="s">
        <v>17</v>
      </c>
      <c r="C11" s="15" t="s">
        <v>208</v>
      </c>
      <c r="D11" s="96" t="s">
        <v>299</v>
      </c>
      <c r="E11" s="31">
        <v>386132</v>
      </c>
      <c r="F11" s="97">
        <v>45992</v>
      </c>
      <c r="G11" s="98">
        <v>45992</v>
      </c>
      <c r="H11" s="89" t="e">
        <f t="shared" ca="1" si="0"/>
        <v>#NAME?</v>
      </c>
      <c r="I11" s="15"/>
      <c r="J11" s="15"/>
      <c r="K11" s="14"/>
      <c r="L11" s="33"/>
      <c r="M11" s="5">
        <f t="shared" si="1"/>
        <v>0</v>
      </c>
      <c r="N11" s="47"/>
      <c r="O11" s="44"/>
      <c r="P11" s="45"/>
      <c r="Q11" s="45"/>
      <c r="R11" s="35"/>
      <c r="S11" s="35"/>
      <c r="T11" s="48"/>
      <c r="U11" s="52"/>
      <c r="V11" s="52"/>
      <c r="W11" s="15"/>
      <c r="X11" s="102"/>
      <c r="Y11" s="102"/>
      <c r="Z11" s="102"/>
      <c r="AA11" s="102"/>
      <c r="AB11" s="103"/>
      <c r="AC11" s="103"/>
      <c r="AD11" s="103"/>
      <c r="AE11" s="100"/>
      <c r="AF11" s="100"/>
      <c r="AG11" s="104"/>
      <c r="AH11" s="104"/>
      <c r="AI11" s="104"/>
      <c r="AJ11" s="104"/>
      <c r="AK11" s="104"/>
      <c r="AL11" s="104"/>
      <c r="AM11" s="104"/>
      <c r="AN11" s="104"/>
      <c r="AO11" s="104"/>
      <c r="AP11" s="104"/>
      <c r="AQ11" s="104"/>
    </row>
    <row r="12" spans="1:43" ht="14.4">
      <c r="A12" s="18" t="s">
        <v>8</v>
      </c>
      <c r="B12" s="15" t="s">
        <v>19</v>
      </c>
      <c r="C12" s="15">
        <v>1</v>
      </c>
      <c r="D12" s="95" t="s">
        <v>300</v>
      </c>
      <c r="E12" s="96">
        <v>368549</v>
      </c>
      <c r="F12" s="97">
        <v>45941</v>
      </c>
      <c r="G12" s="98">
        <v>45982</v>
      </c>
      <c r="H12" s="89" t="e">
        <f t="shared" ca="1" si="0"/>
        <v>#NAME?</v>
      </c>
      <c r="I12" s="39"/>
      <c r="J12" s="39"/>
      <c r="K12" s="56"/>
      <c r="L12" s="40"/>
      <c r="M12" s="5">
        <f t="shared" si="1"/>
        <v>0</v>
      </c>
      <c r="N12" s="44"/>
      <c r="O12" s="44"/>
      <c r="P12" s="45"/>
      <c r="Q12" s="45"/>
      <c r="R12" s="15"/>
      <c r="S12" s="39"/>
      <c r="T12" s="39"/>
      <c r="U12" s="109"/>
      <c r="V12" s="15"/>
      <c r="W12" s="15"/>
      <c r="X12" s="30"/>
      <c r="Y12" s="31"/>
      <c r="Z12" s="32">
        <v>45866</v>
      </c>
      <c r="AA12" s="102" t="s">
        <v>210</v>
      </c>
      <c r="AB12" s="103"/>
      <c r="AC12" s="103"/>
      <c r="AD12" s="103"/>
      <c r="AE12" s="100"/>
      <c r="AF12" s="100"/>
      <c r="AG12" s="104"/>
      <c r="AH12" s="104"/>
      <c r="AI12" s="104"/>
      <c r="AJ12" s="104"/>
      <c r="AK12" s="104"/>
      <c r="AL12" s="104"/>
      <c r="AM12" s="104"/>
      <c r="AN12" s="104"/>
      <c r="AO12" s="104"/>
      <c r="AP12" s="104"/>
      <c r="AQ12" s="104"/>
    </row>
    <row r="13" spans="1:43" ht="14.4">
      <c r="A13" s="18" t="s">
        <v>8</v>
      </c>
      <c r="B13" s="15" t="s">
        <v>21</v>
      </c>
      <c r="C13" s="15">
        <v>1</v>
      </c>
      <c r="D13" s="95" t="s">
        <v>18</v>
      </c>
      <c r="E13" s="96">
        <v>360875</v>
      </c>
      <c r="F13" s="97">
        <v>45959</v>
      </c>
      <c r="G13" s="98">
        <v>46015</v>
      </c>
      <c r="H13" s="89" t="e">
        <f t="shared" ca="1" si="0"/>
        <v>#NAME?</v>
      </c>
      <c r="I13" s="95" t="s">
        <v>18</v>
      </c>
      <c r="J13" s="96">
        <v>360875</v>
      </c>
      <c r="K13" s="97">
        <v>45959</v>
      </c>
      <c r="L13" s="98">
        <v>46015</v>
      </c>
      <c r="M13" s="5">
        <f t="shared" si="1"/>
        <v>41</v>
      </c>
      <c r="N13" s="41"/>
      <c r="O13" s="41"/>
      <c r="P13" s="47"/>
      <c r="Q13" s="49"/>
      <c r="R13" s="5"/>
      <c r="S13" s="6"/>
      <c r="T13" s="6"/>
      <c r="U13" s="10"/>
      <c r="V13" s="52"/>
      <c r="W13" s="15"/>
      <c r="X13" s="38"/>
      <c r="Y13" s="34"/>
      <c r="Z13" s="51"/>
      <c r="AA13" s="36"/>
      <c r="AB13" s="13"/>
      <c r="AC13" s="15" t="s">
        <v>45</v>
      </c>
      <c r="AD13" s="48">
        <v>233815</v>
      </c>
      <c r="AE13" s="52">
        <v>45901</v>
      </c>
      <c r="AF13" s="52">
        <v>45816</v>
      </c>
      <c r="AG13" s="55"/>
      <c r="AH13" s="104"/>
      <c r="AI13" s="104"/>
      <c r="AJ13" s="104"/>
      <c r="AK13" s="104"/>
      <c r="AL13" s="104"/>
      <c r="AM13" s="104"/>
      <c r="AN13" s="104"/>
      <c r="AO13" s="104"/>
      <c r="AP13" s="104"/>
      <c r="AQ13" s="104"/>
    </row>
    <row r="14" spans="1:43" ht="25.2">
      <c r="A14" s="18" t="s">
        <v>8</v>
      </c>
      <c r="B14" s="53" t="s">
        <v>23</v>
      </c>
      <c r="C14" s="15">
        <v>1</v>
      </c>
      <c r="D14" s="95" t="s">
        <v>301</v>
      </c>
      <c r="E14" s="96">
        <v>369035</v>
      </c>
      <c r="F14" s="97">
        <v>46002</v>
      </c>
      <c r="G14" s="98">
        <v>45979</v>
      </c>
      <c r="H14" s="89" t="e">
        <f t="shared" ca="1" si="0"/>
        <v>#NAME?</v>
      </c>
      <c r="I14" s="95" t="s">
        <v>18</v>
      </c>
      <c r="J14" s="96">
        <v>360875</v>
      </c>
      <c r="K14" s="97">
        <v>45959</v>
      </c>
      <c r="L14" s="98">
        <v>46015</v>
      </c>
      <c r="M14" s="5">
        <f t="shared" si="1"/>
        <v>41</v>
      </c>
      <c r="N14" s="39"/>
      <c r="O14" s="39"/>
      <c r="P14" s="56"/>
      <c r="Q14" s="110"/>
      <c r="R14" s="15"/>
      <c r="S14" s="15"/>
      <c r="T14" s="15"/>
      <c r="U14" s="15"/>
      <c r="V14" s="33"/>
      <c r="W14" s="15"/>
      <c r="X14" s="15"/>
      <c r="Y14" s="15"/>
      <c r="Z14" s="15"/>
      <c r="AA14" s="15"/>
      <c r="AB14" s="13"/>
      <c r="AC14" s="13"/>
      <c r="AD14" s="13"/>
      <c r="AE14" s="6"/>
      <c r="AF14" s="6"/>
      <c r="AG14" s="55"/>
      <c r="AH14" s="104"/>
      <c r="AI14" s="104"/>
      <c r="AJ14" s="104"/>
      <c r="AK14" s="104"/>
      <c r="AL14" s="104"/>
      <c r="AM14" s="104"/>
      <c r="AN14" s="104"/>
      <c r="AO14" s="104"/>
      <c r="AP14" s="104"/>
      <c r="AQ14" s="104"/>
    </row>
    <row r="15" spans="1:43" ht="25.2">
      <c r="A15" s="18" t="s">
        <v>8</v>
      </c>
      <c r="B15" s="53" t="s">
        <v>23</v>
      </c>
      <c r="C15" s="54">
        <v>1</v>
      </c>
      <c r="D15" s="95" t="s">
        <v>302</v>
      </c>
      <c r="E15" s="96">
        <v>383711</v>
      </c>
      <c r="F15" s="97">
        <v>46000</v>
      </c>
      <c r="G15" s="98">
        <v>46003</v>
      </c>
      <c r="H15" s="89" t="e">
        <f t="shared" ca="1" si="0"/>
        <v>#NAME?</v>
      </c>
      <c r="I15" s="39"/>
      <c r="J15" s="44"/>
      <c r="K15" s="111"/>
      <c r="L15" s="39"/>
      <c r="M15" s="5">
        <f t="shared" si="1"/>
        <v>0</v>
      </c>
      <c r="N15" s="41"/>
      <c r="O15" s="41"/>
      <c r="P15" s="49"/>
      <c r="Q15" s="41"/>
      <c r="R15" s="15"/>
      <c r="S15" s="15"/>
      <c r="T15" s="15"/>
      <c r="U15" s="15"/>
      <c r="V15" s="33"/>
      <c r="W15" s="15"/>
      <c r="X15" s="15"/>
      <c r="Y15" s="15"/>
      <c r="Z15" s="15"/>
      <c r="AA15" s="15"/>
      <c r="AB15" s="13"/>
      <c r="AC15" s="13"/>
      <c r="AD15" s="13"/>
      <c r="AE15" s="6"/>
      <c r="AF15" s="6"/>
      <c r="AG15" s="55"/>
      <c r="AH15" s="104"/>
      <c r="AI15" s="104"/>
      <c r="AJ15" s="104"/>
      <c r="AK15" s="104"/>
      <c r="AL15" s="104"/>
      <c r="AM15" s="104"/>
      <c r="AN15" s="104"/>
      <c r="AO15" s="104"/>
      <c r="AP15" s="104"/>
      <c r="AQ15" s="104"/>
    </row>
    <row r="16" spans="1:43" ht="13.5" customHeight="1">
      <c r="A16" s="18" t="s">
        <v>8</v>
      </c>
      <c r="B16" s="15" t="s">
        <v>25</v>
      </c>
      <c r="C16" s="15">
        <v>1</v>
      </c>
      <c r="D16" s="96" t="s">
        <v>158</v>
      </c>
      <c r="E16" s="96">
        <v>360354</v>
      </c>
      <c r="F16" s="97">
        <v>45958</v>
      </c>
      <c r="G16" s="98">
        <v>45996</v>
      </c>
      <c r="H16" s="89" t="e">
        <f t="shared" ca="1" si="0"/>
        <v>#NAME?</v>
      </c>
      <c r="I16" s="31" t="s">
        <v>303</v>
      </c>
      <c r="J16" s="31">
        <v>209998</v>
      </c>
      <c r="K16" s="31" t="s">
        <v>215</v>
      </c>
      <c r="L16" s="32">
        <v>45819</v>
      </c>
      <c r="M16" s="5">
        <f t="shared" si="1"/>
        <v>-101</v>
      </c>
      <c r="N16" s="95" t="s">
        <v>18</v>
      </c>
      <c r="O16" s="96">
        <v>360875</v>
      </c>
      <c r="P16" s="97">
        <v>45959</v>
      </c>
      <c r="Q16" s="98">
        <v>46015</v>
      </c>
      <c r="R16" s="5"/>
      <c r="S16" s="15"/>
      <c r="T16" s="15"/>
      <c r="U16" s="112"/>
      <c r="V16" s="33"/>
      <c r="W16" s="15"/>
      <c r="X16" s="15"/>
      <c r="Y16" s="15"/>
      <c r="Z16" s="10"/>
      <c r="AA16" s="33"/>
      <c r="AB16" s="15"/>
      <c r="AC16" s="15" t="s">
        <v>40</v>
      </c>
      <c r="AD16" s="15">
        <v>238780</v>
      </c>
      <c r="AE16" s="6" t="s">
        <v>213</v>
      </c>
      <c r="AF16" s="33">
        <v>45753</v>
      </c>
      <c r="AG16" s="55"/>
      <c r="AH16" s="15" t="s">
        <v>45</v>
      </c>
      <c r="AI16" s="48">
        <v>233815</v>
      </c>
      <c r="AJ16" s="52">
        <v>45901</v>
      </c>
      <c r="AK16" s="10">
        <v>45877</v>
      </c>
      <c r="AL16" s="51"/>
      <c r="AM16" s="39" t="s">
        <v>22</v>
      </c>
      <c r="AN16" s="39">
        <v>262841</v>
      </c>
      <c r="AO16" s="109" t="s">
        <v>209</v>
      </c>
      <c r="AP16" s="6" t="s">
        <v>207</v>
      </c>
      <c r="AQ16" s="51"/>
    </row>
    <row r="17" spans="1:43" ht="14.4">
      <c r="A17" s="18" t="s">
        <v>8</v>
      </c>
      <c r="B17" s="15" t="s">
        <v>26</v>
      </c>
      <c r="C17" s="15">
        <v>1</v>
      </c>
      <c r="D17" s="96" t="s">
        <v>304</v>
      </c>
      <c r="E17" s="96">
        <v>364408</v>
      </c>
      <c r="F17" s="97">
        <v>45964</v>
      </c>
      <c r="G17" s="98">
        <v>45968</v>
      </c>
      <c r="H17" s="89" t="e">
        <f t="shared" ca="1" si="0"/>
        <v>#NAME?</v>
      </c>
      <c r="I17" s="55"/>
      <c r="J17" s="55"/>
      <c r="K17" s="56"/>
      <c r="L17" s="56"/>
      <c r="M17" s="5">
        <f t="shared" si="1"/>
        <v>0</v>
      </c>
      <c r="N17" s="44"/>
      <c r="O17" s="47"/>
      <c r="P17" s="45"/>
      <c r="Q17" s="57"/>
      <c r="R17" s="5"/>
      <c r="S17" s="15"/>
      <c r="T17" s="15"/>
      <c r="U17" s="15"/>
      <c r="V17" s="15"/>
      <c r="W17" s="15"/>
      <c r="X17" s="102"/>
      <c r="Y17" s="102"/>
      <c r="Z17" s="102"/>
      <c r="AA17" s="102"/>
      <c r="AB17" s="103"/>
      <c r="AC17" s="103"/>
      <c r="AD17" s="103"/>
      <c r="AE17" s="100"/>
      <c r="AF17" s="100"/>
      <c r="AG17" s="104"/>
      <c r="AH17" s="104"/>
      <c r="AI17" s="104"/>
      <c r="AJ17" s="104"/>
      <c r="AK17" s="104"/>
      <c r="AL17" s="104"/>
      <c r="AM17" s="104"/>
      <c r="AN17" s="104"/>
      <c r="AO17" s="104"/>
      <c r="AP17" s="104"/>
      <c r="AQ17" s="104"/>
    </row>
    <row r="18" spans="1:43" ht="14.4">
      <c r="A18" s="18" t="s">
        <v>8</v>
      </c>
      <c r="B18" s="15" t="s">
        <v>27</v>
      </c>
      <c r="C18" s="15">
        <v>1</v>
      </c>
      <c r="D18" s="67" t="s">
        <v>305</v>
      </c>
      <c r="E18" s="67">
        <v>363244</v>
      </c>
      <c r="F18" s="74">
        <v>45962</v>
      </c>
      <c r="G18" s="113">
        <v>45967</v>
      </c>
      <c r="H18" s="89" t="e">
        <f t="shared" ca="1" si="0"/>
        <v>#NAME?</v>
      </c>
      <c r="I18" s="96" t="s">
        <v>304</v>
      </c>
      <c r="J18" s="96">
        <v>364408</v>
      </c>
      <c r="K18" s="97">
        <v>45964</v>
      </c>
      <c r="L18" s="98">
        <v>45968</v>
      </c>
      <c r="M18" s="5">
        <f t="shared" si="1"/>
        <v>5</v>
      </c>
      <c r="N18" s="41"/>
      <c r="O18" s="41"/>
      <c r="P18" s="49"/>
      <c r="Q18" s="41"/>
      <c r="R18" s="15"/>
      <c r="S18" s="15"/>
      <c r="T18" s="15"/>
      <c r="U18" s="15"/>
      <c r="V18" s="15"/>
      <c r="W18" s="15"/>
      <c r="X18" s="102"/>
      <c r="Y18" s="102"/>
      <c r="Z18" s="102"/>
      <c r="AA18" s="102"/>
      <c r="AB18" s="103"/>
      <c r="AC18" s="103"/>
      <c r="AD18" s="103"/>
      <c r="AE18" s="100"/>
      <c r="AF18" s="100"/>
      <c r="AG18" s="104"/>
      <c r="AH18" s="104"/>
      <c r="AI18" s="104"/>
      <c r="AJ18" s="104"/>
      <c r="AK18" s="104"/>
      <c r="AL18" s="104"/>
      <c r="AM18" s="104"/>
      <c r="AN18" s="104"/>
      <c r="AO18" s="104"/>
      <c r="AP18" s="104"/>
      <c r="AQ18" s="104"/>
    </row>
    <row r="19" spans="1:43" ht="14.4">
      <c r="A19" s="18" t="s">
        <v>8</v>
      </c>
      <c r="B19" s="15" t="s">
        <v>28</v>
      </c>
      <c r="C19" s="15">
        <v>1</v>
      </c>
      <c r="D19" s="90" t="s">
        <v>306</v>
      </c>
      <c r="E19" s="90">
        <v>379734</v>
      </c>
      <c r="F19" s="114"/>
      <c r="G19" s="114"/>
      <c r="H19" s="89" t="e">
        <f t="shared" ca="1" si="0"/>
        <v>#NAME?</v>
      </c>
      <c r="I19" s="96" t="s">
        <v>158</v>
      </c>
      <c r="J19" s="96">
        <v>360354</v>
      </c>
      <c r="K19" s="97" t="s">
        <v>284</v>
      </c>
      <c r="L19" s="98">
        <v>45996</v>
      </c>
      <c r="M19" s="5">
        <f t="shared" si="1"/>
        <v>29</v>
      </c>
      <c r="N19" s="67" t="s">
        <v>305</v>
      </c>
      <c r="O19" s="67">
        <v>363244</v>
      </c>
      <c r="P19" s="74">
        <v>45962</v>
      </c>
      <c r="Q19" s="113">
        <v>45967</v>
      </c>
      <c r="R19" s="15"/>
      <c r="S19" s="15"/>
      <c r="T19" s="15"/>
      <c r="U19" s="15"/>
      <c r="V19" s="15"/>
      <c r="W19" s="15"/>
      <c r="X19" s="102"/>
      <c r="Y19" s="102"/>
      <c r="Z19" s="102"/>
      <c r="AA19" s="102"/>
      <c r="AB19" s="103"/>
      <c r="AC19" s="103"/>
      <c r="AD19" s="103"/>
      <c r="AE19" s="100"/>
      <c r="AF19" s="100"/>
      <c r="AG19" s="104"/>
      <c r="AH19" s="104"/>
      <c r="AI19" s="104"/>
      <c r="AJ19" s="104"/>
      <c r="AK19" s="104"/>
      <c r="AL19" s="104"/>
      <c r="AM19" s="104"/>
      <c r="AN19" s="104"/>
      <c r="AO19" s="104"/>
      <c r="AP19" s="104"/>
      <c r="AQ19" s="104"/>
    </row>
    <row r="20" spans="1:43" ht="25.2">
      <c r="A20" s="18" t="s">
        <v>8</v>
      </c>
      <c r="B20" s="15" t="s">
        <v>29</v>
      </c>
      <c r="C20" s="18">
        <v>1</v>
      </c>
      <c r="D20" s="96" t="s">
        <v>307</v>
      </c>
      <c r="E20" s="96">
        <v>363261</v>
      </c>
      <c r="F20" s="97">
        <v>45668</v>
      </c>
      <c r="G20" s="98">
        <v>45986</v>
      </c>
      <c r="H20" s="89" t="e">
        <f t="shared" ca="1" si="0"/>
        <v>#NAME?</v>
      </c>
      <c r="I20" s="96" t="s">
        <v>308</v>
      </c>
      <c r="J20" s="96">
        <v>368550</v>
      </c>
      <c r="K20" s="97">
        <v>45971</v>
      </c>
      <c r="L20" s="98">
        <v>45999</v>
      </c>
      <c r="M20" s="5">
        <f t="shared" si="1"/>
        <v>21</v>
      </c>
      <c r="N20" s="39"/>
      <c r="O20" s="39"/>
      <c r="P20" s="106"/>
      <c r="Q20" s="115"/>
      <c r="R20" s="5"/>
      <c r="S20" s="15"/>
      <c r="T20" s="15"/>
      <c r="U20" s="14"/>
      <c r="V20" s="33"/>
      <c r="W20" s="15"/>
      <c r="X20" s="102"/>
      <c r="Y20" s="102"/>
      <c r="Z20" s="102"/>
      <c r="AA20" s="102"/>
      <c r="AB20" s="103"/>
      <c r="AC20" s="103"/>
      <c r="AD20" s="103"/>
      <c r="AE20" s="100"/>
      <c r="AF20" s="100"/>
      <c r="AG20" s="104"/>
      <c r="AH20" s="104"/>
      <c r="AI20" s="104"/>
      <c r="AJ20" s="104"/>
      <c r="AK20" s="104"/>
      <c r="AL20" s="104"/>
      <c r="AM20" s="104"/>
      <c r="AN20" s="104"/>
      <c r="AO20" s="104"/>
      <c r="AP20" s="104"/>
      <c r="AQ20" s="104"/>
    </row>
    <row r="21" spans="1:43" ht="15.75" customHeight="1">
      <c r="A21" s="18" t="s">
        <v>8</v>
      </c>
      <c r="B21" s="16" t="s">
        <v>30</v>
      </c>
      <c r="C21" s="16">
        <v>1</v>
      </c>
      <c r="D21" s="96" t="s">
        <v>309</v>
      </c>
      <c r="E21" s="96">
        <v>368366</v>
      </c>
      <c r="F21" s="97">
        <v>45972</v>
      </c>
      <c r="G21" s="98">
        <v>45967</v>
      </c>
      <c r="H21" s="89" t="e">
        <f t="shared" ca="1" si="0"/>
        <v>#NAME?</v>
      </c>
      <c r="I21" s="90" t="s">
        <v>166</v>
      </c>
      <c r="J21" s="90">
        <v>332070</v>
      </c>
      <c r="K21" s="116">
        <v>45755</v>
      </c>
      <c r="L21" s="37"/>
      <c r="M21" s="5">
        <f t="shared" si="1"/>
        <v>-32682</v>
      </c>
      <c r="N21" s="114"/>
      <c r="O21" s="114"/>
      <c r="P21" s="114"/>
      <c r="Q21" s="114"/>
      <c r="R21" s="15"/>
      <c r="S21" s="15"/>
      <c r="T21" s="15"/>
      <c r="U21" s="15"/>
      <c r="V21" s="15"/>
      <c r="W21" s="15"/>
      <c r="X21" s="102"/>
      <c r="Y21" s="102"/>
      <c r="Z21" s="102"/>
      <c r="AA21" s="102"/>
      <c r="AB21" s="103"/>
      <c r="AC21" s="103"/>
      <c r="AD21" s="103"/>
      <c r="AE21" s="100"/>
      <c r="AF21" s="100"/>
      <c r="AG21" s="104"/>
      <c r="AH21" s="104"/>
      <c r="AI21" s="104"/>
      <c r="AJ21" s="104"/>
      <c r="AK21" s="104"/>
      <c r="AL21" s="104"/>
      <c r="AM21" s="104"/>
      <c r="AN21" s="104"/>
      <c r="AO21" s="104"/>
      <c r="AP21" s="104"/>
      <c r="AQ21" s="104"/>
    </row>
    <row r="22" spans="1:43" ht="15.75" customHeight="1">
      <c r="A22" s="18" t="s">
        <v>8</v>
      </c>
      <c r="B22" s="16" t="s">
        <v>30</v>
      </c>
      <c r="C22" s="54">
        <v>1</v>
      </c>
      <c r="D22" s="96" t="s">
        <v>109</v>
      </c>
      <c r="E22" s="96">
        <v>362309</v>
      </c>
      <c r="F22" s="97" t="s">
        <v>225</v>
      </c>
      <c r="G22" s="98">
        <v>45967</v>
      </c>
      <c r="H22" s="89" t="e">
        <f t="shared" ca="1" si="0"/>
        <v>#NAME?</v>
      </c>
      <c r="I22" s="67" t="s">
        <v>38</v>
      </c>
      <c r="J22" s="96">
        <v>363228</v>
      </c>
      <c r="K22" s="97">
        <v>45962</v>
      </c>
      <c r="L22" s="117">
        <v>45766</v>
      </c>
      <c r="M22" s="5">
        <f t="shared" si="1"/>
        <v>-140</v>
      </c>
      <c r="N22" s="15"/>
      <c r="O22" s="15"/>
      <c r="P22" s="33"/>
      <c r="Q22" s="15"/>
      <c r="R22" s="15"/>
      <c r="S22" s="15"/>
      <c r="T22" s="15"/>
      <c r="U22" s="15"/>
      <c r="V22" s="15"/>
      <c r="W22" s="15"/>
      <c r="X22" s="102"/>
      <c r="Y22" s="102"/>
      <c r="Z22" s="102"/>
      <c r="AA22" s="102"/>
      <c r="AB22" s="103"/>
      <c r="AC22" s="103"/>
      <c r="AD22" s="103"/>
      <c r="AE22" s="100"/>
      <c r="AF22" s="100"/>
      <c r="AG22" s="104"/>
      <c r="AH22" s="104"/>
      <c r="AI22" s="104"/>
      <c r="AJ22" s="104"/>
      <c r="AK22" s="104"/>
      <c r="AL22" s="104"/>
      <c r="AM22" s="104"/>
      <c r="AN22" s="104"/>
      <c r="AO22" s="104"/>
      <c r="AP22" s="104"/>
      <c r="AQ22" s="104"/>
    </row>
    <row r="23" spans="1:43" ht="15.75" customHeight="1">
      <c r="A23" s="18" t="s">
        <v>8</v>
      </c>
      <c r="B23" s="15" t="s">
        <v>31</v>
      </c>
      <c r="C23" s="15">
        <v>1</v>
      </c>
      <c r="D23" s="96" t="s">
        <v>310</v>
      </c>
      <c r="E23" s="96">
        <v>363229</v>
      </c>
      <c r="F23" s="97">
        <v>45973</v>
      </c>
      <c r="G23" s="98">
        <v>45967</v>
      </c>
      <c r="H23" s="89" t="e">
        <f t="shared" ca="1" si="0"/>
        <v>#NAME?</v>
      </c>
      <c r="I23" s="31" t="s">
        <v>303</v>
      </c>
      <c r="J23" s="31">
        <v>209998</v>
      </c>
      <c r="K23" s="31" t="s">
        <v>215</v>
      </c>
      <c r="L23" s="32">
        <v>45819</v>
      </c>
      <c r="M23" s="5">
        <f t="shared" si="1"/>
        <v>-101</v>
      </c>
      <c r="N23" s="96" t="s">
        <v>311</v>
      </c>
      <c r="O23" s="96">
        <v>299213</v>
      </c>
      <c r="P23" s="118"/>
      <c r="Q23" s="83">
        <v>46015</v>
      </c>
      <c r="R23" s="5"/>
      <c r="S23" s="15"/>
      <c r="T23" s="15"/>
      <c r="U23" s="15"/>
      <c r="V23" s="15"/>
      <c r="W23" s="15"/>
      <c r="X23" s="102"/>
      <c r="Y23" s="102"/>
      <c r="Z23" s="102"/>
      <c r="AA23" s="102"/>
      <c r="AB23" s="103"/>
      <c r="AC23" s="103"/>
      <c r="AD23" s="103"/>
      <c r="AE23" s="100"/>
      <c r="AF23" s="100"/>
      <c r="AG23" s="104"/>
      <c r="AH23" s="104"/>
      <c r="AI23" s="104"/>
      <c r="AJ23" s="104"/>
      <c r="AK23" s="104"/>
      <c r="AL23" s="104"/>
      <c r="AM23" s="104"/>
      <c r="AN23" s="104"/>
      <c r="AO23" s="104"/>
      <c r="AP23" s="104"/>
      <c r="AQ23" s="104"/>
    </row>
    <row r="24" spans="1:43" ht="15.75" customHeight="1">
      <c r="A24" s="18" t="s">
        <v>8</v>
      </c>
      <c r="B24" s="15" t="s">
        <v>32</v>
      </c>
      <c r="C24" s="15">
        <v>1</v>
      </c>
      <c r="D24" s="96" t="s">
        <v>312</v>
      </c>
      <c r="E24" s="96">
        <v>361653</v>
      </c>
      <c r="F24" s="97">
        <v>45960</v>
      </c>
      <c r="G24" s="98">
        <v>45964</v>
      </c>
      <c r="H24" s="89" t="e">
        <f t="shared" ca="1" si="0"/>
        <v>#NAME?</v>
      </c>
      <c r="I24" s="96" t="s">
        <v>311</v>
      </c>
      <c r="J24" s="96">
        <v>299213</v>
      </c>
      <c r="K24" s="119"/>
      <c r="L24" s="98">
        <v>46015</v>
      </c>
      <c r="M24" s="5">
        <f t="shared" si="1"/>
        <v>32868</v>
      </c>
      <c r="N24" s="96" t="s">
        <v>307</v>
      </c>
      <c r="O24" s="96">
        <v>363261</v>
      </c>
      <c r="P24" s="97">
        <v>45668</v>
      </c>
      <c r="Q24" s="98">
        <v>45986</v>
      </c>
      <c r="R24" s="5"/>
      <c r="S24" s="15"/>
      <c r="T24" s="15"/>
      <c r="U24" s="120"/>
      <c r="V24" s="15"/>
      <c r="W24" s="15"/>
      <c r="X24" s="102"/>
      <c r="Y24" s="102"/>
      <c r="Z24" s="102"/>
      <c r="AA24" s="102"/>
      <c r="AB24" s="103"/>
      <c r="AC24" s="103"/>
      <c r="AD24" s="103"/>
      <c r="AE24" s="100"/>
      <c r="AF24" s="100"/>
      <c r="AG24" s="104"/>
      <c r="AH24" s="104"/>
      <c r="AI24" s="104"/>
      <c r="AJ24" s="104"/>
      <c r="AK24" s="104"/>
      <c r="AL24" s="104"/>
      <c r="AM24" s="104"/>
      <c r="AN24" s="104"/>
      <c r="AO24" s="104"/>
      <c r="AP24" s="104"/>
      <c r="AQ24" s="104"/>
    </row>
    <row r="25" spans="1:43" ht="15.75" customHeight="1">
      <c r="A25" s="18" t="s">
        <v>8</v>
      </c>
      <c r="B25" s="19" t="s">
        <v>33</v>
      </c>
      <c r="C25" s="15">
        <v>1</v>
      </c>
      <c r="D25" s="96" t="s">
        <v>313</v>
      </c>
      <c r="E25" s="96">
        <v>368543</v>
      </c>
      <c r="F25" s="121">
        <v>45971</v>
      </c>
      <c r="G25" s="97">
        <v>45979</v>
      </c>
      <c r="H25" s="89" t="e">
        <f t="shared" ca="1" si="0"/>
        <v>#NAME?</v>
      </c>
      <c r="I25" s="96" t="s">
        <v>311</v>
      </c>
      <c r="J25" s="96">
        <v>299213</v>
      </c>
      <c r="K25" s="119"/>
      <c r="L25" s="98">
        <v>46015</v>
      </c>
      <c r="M25" s="5">
        <f t="shared" si="1"/>
        <v>32868</v>
      </c>
      <c r="N25" s="15"/>
      <c r="O25" s="15"/>
      <c r="P25" s="33"/>
      <c r="Q25" s="15"/>
      <c r="R25" s="15"/>
      <c r="S25" s="15"/>
      <c r="T25" s="15"/>
      <c r="U25" s="15"/>
      <c r="V25" s="15"/>
      <c r="W25" s="15"/>
      <c r="X25" s="102"/>
      <c r="Y25" s="102"/>
      <c r="Z25" s="102"/>
      <c r="AA25" s="102"/>
      <c r="AB25" s="103"/>
      <c r="AC25" s="103"/>
      <c r="AD25" s="103"/>
      <c r="AE25" s="100"/>
      <c r="AF25" s="100"/>
      <c r="AG25" s="104"/>
      <c r="AH25" s="104"/>
      <c r="AI25" s="104"/>
      <c r="AJ25" s="104"/>
      <c r="AK25" s="104"/>
      <c r="AL25" s="104"/>
      <c r="AM25" s="104"/>
      <c r="AN25" s="104"/>
      <c r="AO25" s="104"/>
      <c r="AP25" s="104"/>
      <c r="AQ25" s="104"/>
    </row>
    <row r="26" spans="1:43" ht="15.75" customHeight="1">
      <c r="A26" s="18" t="s">
        <v>8</v>
      </c>
      <c r="B26" s="19" t="s">
        <v>33</v>
      </c>
      <c r="C26" s="15">
        <v>1</v>
      </c>
      <c r="D26" s="96" t="s">
        <v>311</v>
      </c>
      <c r="E26" s="96">
        <v>299213</v>
      </c>
      <c r="F26" s="119"/>
      <c r="G26" s="98">
        <v>46015</v>
      </c>
      <c r="H26" s="89" t="e">
        <f t="shared" ca="1" si="0"/>
        <v>#NAME?</v>
      </c>
      <c r="I26" s="31"/>
      <c r="J26" s="31"/>
      <c r="K26" s="32"/>
      <c r="L26" s="40"/>
      <c r="M26" s="5">
        <f t="shared" si="1"/>
        <v>0</v>
      </c>
      <c r="N26" s="39"/>
      <c r="O26" s="122"/>
      <c r="P26" s="58"/>
      <c r="Q26" s="88"/>
      <c r="R26" s="15"/>
      <c r="S26" s="15"/>
      <c r="T26" s="15"/>
      <c r="U26" s="15"/>
      <c r="V26" s="15"/>
      <c r="W26" s="15"/>
      <c r="X26" s="102"/>
      <c r="Y26" s="102"/>
      <c r="Z26" s="102"/>
      <c r="AA26" s="102"/>
      <c r="AB26" s="103"/>
      <c r="AC26" s="103"/>
      <c r="AD26" s="103"/>
      <c r="AE26" s="100"/>
      <c r="AF26" s="100"/>
      <c r="AG26" s="104"/>
      <c r="AH26" s="104"/>
      <c r="AI26" s="104"/>
      <c r="AJ26" s="104"/>
      <c r="AK26" s="104"/>
      <c r="AL26" s="104"/>
      <c r="AM26" s="104"/>
      <c r="AN26" s="104"/>
      <c r="AO26" s="104"/>
      <c r="AP26" s="104"/>
      <c r="AQ26" s="104"/>
    </row>
    <row r="27" spans="1:43" ht="13.5" customHeight="1">
      <c r="A27" s="18" t="s">
        <v>8</v>
      </c>
      <c r="B27" s="19" t="s">
        <v>34</v>
      </c>
      <c r="C27" s="15">
        <v>1</v>
      </c>
      <c r="D27" s="96" t="s">
        <v>38</v>
      </c>
      <c r="E27" s="96">
        <v>167411</v>
      </c>
      <c r="F27" s="97">
        <v>45488</v>
      </c>
      <c r="G27" s="98">
        <v>46003</v>
      </c>
      <c r="H27" s="89" t="e">
        <f t="shared" ca="1" si="0"/>
        <v>#NAME?</v>
      </c>
      <c r="I27" s="96" t="s">
        <v>311</v>
      </c>
      <c r="J27" s="96">
        <v>299213</v>
      </c>
      <c r="K27" s="118"/>
      <c r="L27" s="83">
        <v>46015</v>
      </c>
      <c r="M27" s="5">
        <f t="shared" si="1"/>
        <v>32868</v>
      </c>
      <c r="N27" s="90" t="s">
        <v>166</v>
      </c>
      <c r="O27" s="90">
        <v>332070</v>
      </c>
      <c r="P27" s="116">
        <v>45755</v>
      </c>
      <c r="Q27" s="37"/>
      <c r="R27" s="5"/>
      <c r="S27" s="15"/>
      <c r="T27" s="15"/>
      <c r="U27" s="15"/>
      <c r="V27" s="15"/>
      <c r="W27" s="15"/>
      <c r="X27" s="102"/>
      <c r="Y27" s="102"/>
      <c r="Z27" s="102"/>
      <c r="AA27" s="102"/>
      <c r="AB27" s="103"/>
      <c r="AC27" s="103"/>
      <c r="AD27" s="103"/>
      <c r="AE27" s="100"/>
      <c r="AF27" s="100"/>
      <c r="AG27" s="104"/>
      <c r="AH27" s="104"/>
      <c r="AI27" s="104"/>
      <c r="AJ27" s="104"/>
      <c r="AK27" s="104"/>
      <c r="AL27" s="104"/>
      <c r="AM27" s="104"/>
      <c r="AN27" s="104"/>
      <c r="AO27" s="104"/>
      <c r="AP27" s="104"/>
      <c r="AQ27" s="104"/>
    </row>
    <row r="28" spans="1:43" ht="15.75" customHeight="1">
      <c r="A28" s="18" t="s">
        <v>8</v>
      </c>
      <c r="B28" s="19" t="s">
        <v>36</v>
      </c>
      <c r="C28" s="15">
        <v>1</v>
      </c>
      <c r="D28" s="96" t="s">
        <v>308</v>
      </c>
      <c r="E28" s="96">
        <v>368550</v>
      </c>
      <c r="F28" s="97">
        <v>45971</v>
      </c>
      <c r="G28" s="98">
        <v>45999</v>
      </c>
      <c r="H28" s="89" t="e">
        <f t="shared" ca="1" si="0"/>
        <v>#NAME?</v>
      </c>
      <c r="I28" s="31" t="s">
        <v>303</v>
      </c>
      <c r="J28" s="31">
        <v>209998</v>
      </c>
      <c r="K28" s="31" t="s">
        <v>215</v>
      </c>
      <c r="L28" s="32">
        <v>45819</v>
      </c>
      <c r="M28" s="5">
        <f t="shared" si="1"/>
        <v>-101</v>
      </c>
      <c r="N28" s="67" t="s">
        <v>38</v>
      </c>
      <c r="O28" s="96">
        <v>363228</v>
      </c>
      <c r="P28" s="97">
        <v>45962</v>
      </c>
      <c r="Q28" s="117">
        <v>45766</v>
      </c>
      <c r="R28" s="5"/>
      <c r="S28" s="90" t="s">
        <v>38</v>
      </c>
      <c r="T28" s="90">
        <v>167411</v>
      </c>
      <c r="U28" s="108" t="s">
        <v>314</v>
      </c>
      <c r="V28" s="15"/>
      <c r="W28" s="15"/>
      <c r="X28" s="102"/>
      <c r="Y28" s="102"/>
      <c r="Z28" s="102"/>
      <c r="AA28" s="102"/>
      <c r="AB28" s="103"/>
      <c r="AC28" s="103"/>
      <c r="AD28" s="103"/>
      <c r="AE28" s="100"/>
      <c r="AF28" s="100"/>
      <c r="AG28" s="104"/>
      <c r="AH28" s="104"/>
      <c r="AI28" s="104"/>
      <c r="AJ28" s="104"/>
      <c r="AK28" s="104"/>
      <c r="AL28" s="104"/>
      <c r="AM28" s="104"/>
      <c r="AN28" s="104"/>
      <c r="AO28" s="104"/>
      <c r="AP28" s="104"/>
      <c r="AQ28" s="104"/>
    </row>
    <row r="29" spans="1:43" ht="15.75" customHeight="1">
      <c r="A29" s="18" t="s">
        <v>8</v>
      </c>
      <c r="B29" s="15" t="s">
        <v>37</v>
      </c>
      <c r="C29" s="15">
        <v>1</v>
      </c>
      <c r="D29" s="96" t="s">
        <v>315</v>
      </c>
      <c r="E29" s="96">
        <v>369184</v>
      </c>
      <c r="F29" s="97">
        <v>45972</v>
      </c>
      <c r="G29" s="98">
        <v>45976</v>
      </c>
      <c r="H29" s="89" t="e">
        <f t="shared" ca="1" si="0"/>
        <v>#NAME?</v>
      </c>
      <c r="I29" s="67" t="s">
        <v>38</v>
      </c>
      <c r="J29" s="96">
        <v>363228</v>
      </c>
      <c r="K29" s="97">
        <v>45962</v>
      </c>
      <c r="L29" s="117">
        <v>45766</v>
      </c>
      <c r="M29" s="5">
        <f t="shared" si="1"/>
        <v>-140</v>
      </c>
      <c r="N29" s="62" t="s">
        <v>316</v>
      </c>
      <c r="O29" s="62">
        <v>379299</v>
      </c>
      <c r="P29" s="123">
        <v>45700</v>
      </c>
      <c r="Q29" s="37"/>
      <c r="R29" s="5"/>
      <c r="S29" s="67" t="s">
        <v>38</v>
      </c>
      <c r="T29" s="96">
        <v>363228</v>
      </c>
      <c r="U29" s="97">
        <v>45962</v>
      </c>
      <c r="V29" s="117">
        <v>45766</v>
      </c>
      <c r="W29" s="124"/>
      <c r="X29" s="114"/>
      <c r="Y29" s="114"/>
      <c r="Z29" s="114"/>
      <c r="AA29" s="114"/>
      <c r="AB29" s="114"/>
      <c r="AC29" s="114"/>
      <c r="AD29" s="114"/>
      <c r="AE29" s="114"/>
      <c r="AF29" s="114"/>
      <c r="AG29" s="104"/>
      <c r="AH29" s="104"/>
      <c r="AI29" s="104"/>
      <c r="AJ29" s="104"/>
      <c r="AK29" s="104"/>
      <c r="AL29" s="104"/>
      <c r="AM29" s="104"/>
      <c r="AN29" s="104"/>
      <c r="AO29" s="104"/>
      <c r="AP29" s="104"/>
      <c r="AQ29" s="104"/>
    </row>
    <row r="30" spans="1:43" ht="15.75" customHeight="1">
      <c r="A30" s="18" t="s">
        <v>8</v>
      </c>
      <c r="B30" s="15" t="s">
        <v>39</v>
      </c>
      <c r="C30" s="15">
        <v>1</v>
      </c>
      <c r="D30" s="67" t="s">
        <v>38</v>
      </c>
      <c r="E30" s="96">
        <v>363228</v>
      </c>
      <c r="F30" s="97">
        <v>45962</v>
      </c>
      <c r="G30" s="117">
        <v>45766</v>
      </c>
      <c r="H30" s="89" t="e">
        <f t="shared" ca="1" si="0"/>
        <v>#NAME?</v>
      </c>
      <c r="I30" s="90" t="s">
        <v>166</v>
      </c>
      <c r="J30" s="90">
        <v>332070</v>
      </c>
      <c r="K30" s="116">
        <v>45755</v>
      </c>
      <c r="L30" s="40"/>
      <c r="M30" s="5">
        <f t="shared" si="1"/>
        <v>-32682</v>
      </c>
      <c r="N30" s="90" t="s">
        <v>35</v>
      </c>
      <c r="O30" s="90">
        <v>362318</v>
      </c>
      <c r="P30" s="90" t="s">
        <v>215</v>
      </c>
      <c r="Q30" s="15"/>
      <c r="R30" s="5"/>
      <c r="S30" s="15"/>
      <c r="T30" s="15"/>
      <c r="U30" s="15"/>
      <c r="V30" s="15"/>
      <c r="W30" s="15"/>
      <c r="X30" s="102"/>
      <c r="Y30" s="102"/>
      <c r="Z30" s="102"/>
      <c r="AA30" s="102"/>
      <c r="AB30" s="103"/>
      <c r="AC30" s="103"/>
      <c r="AD30" s="103"/>
      <c r="AE30" s="100"/>
      <c r="AF30" s="100"/>
      <c r="AG30" s="104"/>
      <c r="AH30" s="104"/>
      <c r="AI30" s="104"/>
      <c r="AJ30" s="104"/>
      <c r="AK30" s="104"/>
      <c r="AL30" s="104"/>
      <c r="AM30" s="104"/>
      <c r="AN30" s="104"/>
      <c r="AO30" s="104"/>
      <c r="AP30" s="104"/>
      <c r="AQ30" s="104"/>
    </row>
    <row r="31" spans="1:43" ht="15.75" customHeight="1">
      <c r="A31" s="18" t="s">
        <v>8</v>
      </c>
      <c r="B31" s="15" t="s">
        <v>41</v>
      </c>
      <c r="C31" s="15">
        <v>1</v>
      </c>
      <c r="D31" s="31" t="s">
        <v>303</v>
      </c>
      <c r="E31" s="31">
        <v>209998</v>
      </c>
      <c r="F31" s="31" t="s">
        <v>215</v>
      </c>
      <c r="G31" s="32">
        <v>45819</v>
      </c>
      <c r="H31" s="89" t="e">
        <f t="shared" ca="1" si="0"/>
        <v>#NAME?</v>
      </c>
      <c r="I31" s="39"/>
      <c r="J31" s="122"/>
      <c r="K31" s="58"/>
      <c r="L31" s="40"/>
      <c r="M31" s="5">
        <f t="shared" si="1"/>
        <v>0</v>
      </c>
      <c r="N31" s="15"/>
      <c r="O31" s="15"/>
      <c r="P31" s="33"/>
      <c r="Q31" s="15"/>
      <c r="R31" s="15"/>
      <c r="S31" s="15"/>
      <c r="T31" s="15"/>
      <c r="U31" s="15"/>
      <c r="V31" s="15"/>
      <c r="W31" s="15"/>
      <c r="X31" s="102"/>
      <c r="Y31" s="102"/>
      <c r="Z31" s="102"/>
      <c r="AA31" s="102"/>
      <c r="AB31" s="103"/>
      <c r="AC31" s="103"/>
      <c r="AD31" s="103"/>
      <c r="AE31" s="100"/>
      <c r="AF31" s="100"/>
      <c r="AG31" s="104"/>
      <c r="AH31" s="104"/>
      <c r="AI31" s="104"/>
      <c r="AJ31" s="104"/>
      <c r="AK31" s="104"/>
      <c r="AL31" s="104"/>
      <c r="AM31" s="104"/>
      <c r="AN31" s="104"/>
      <c r="AO31" s="104"/>
      <c r="AP31" s="104"/>
      <c r="AQ31" s="104"/>
    </row>
    <row r="32" spans="1:43" ht="15.75" customHeight="1">
      <c r="A32" s="20" t="s">
        <v>8</v>
      </c>
      <c r="B32" s="15" t="s">
        <v>217</v>
      </c>
      <c r="C32" s="15">
        <v>1</v>
      </c>
      <c r="D32" s="34" t="s">
        <v>317</v>
      </c>
      <c r="E32" s="122">
        <v>9996</v>
      </c>
      <c r="F32" s="125">
        <v>45544</v>
      </c>
      <c r="G32" s="51">
        <v>45909</v>
      </c>
      <c r="H32" s="89" t="e">
        <f t="shared" ca="1" si="0"/>
        <v>#NAME?</v>
      </c>
      <c r="I32" s="102"/>
      <c r="J32" s="102"/>
      <c r="K32" s="126"/>
      <c r="L32" s="102"/>
      <c r="M32" s="5">
        <f t="shared" si="1"/>
        <v>0</v>
      </c>
      <c r="N32" s="15"/>
      <c r="O32" s="15"/>
      <c r="P32" s="33"/>
      <c r="Q32" s="15"/>
      <c r="R32" s="15"/>
      <c r="S32" s="15"/>
      <c r="T32" s="15"/>
      <c r="U32" s="15"/>
      <c r="V32" s="15"/>
      <c r="W32" s="15"/>
      <c r="X32" s="102"/>
      <c r="Y32" s="102"/>
      <c r="Z32" s="102"/>
      <c r="AA32" s="102"/>
      <c r="AB32" s="103"/>
      <c r="AC32" s="103"/>
      <c r="AD32" s="103"/>
      <c r="AE32" s="100"/>
      <c r="AF32" s="100"/>
      <c r="AG32" s="104"/>
      <c r="AH32" s="104"/>
      <c r="AI32" s="104"/>
      <c r="AJ32" s="104"/>
      <c r="AK32" s="104"/>
      <c r="AL32" s="104"/>
      <c r="AM32" s="104"/>
      <c r="AN32" s="104"/>
      <c r="AO32" s="104"/>
      <c r="AP32" s="104"/>
      <c r="AQ32" s="104"/>
    </row>
    <row r="33" spans="1:43" ht="15.75" customHeight="1">
      <c r="A33" s="18" t="s">
        <v>43</v>
      </c>
      <c r="B33" s="19" t="s">
        <v>44</v>
      </c>
      <c r="C33" s="15">
        <v>1</v>
      </c>
      <c r="D33" s="67" t="s">
        <v>318</v>
      </c>
      <c r="E33" s="67">
        <v>323324</v>
      </c>
      <c r="F33" s="97">
        <v>45852</v>
      </c>
      <c r="G33" s="98">
        <v>45997</v>
      </c>
      <c r="H33" s="89" t="e">
        <f t="shared" ca="1" si="0"/>
        <v>#NAME?</v>
      </c>
      <c r="I33" s="96" t="s">
        <v>319</v>
      </c>
      <c r="J33" s="96">
        <v>364430</v>
      </c>
      <c r="K33" s="127">
        <v>45964</v>
      </c>
      <c r="L33" s="127">
        <v>45969</v>
      </c>
      <c r="M33" s="5">
        <f t="shared" si="1"/>
        <v>5</v>
      </c>
      <c r="N33" s="96" t="s">
        <v>293</v>
      </c>
      <c r="O33" s="96">
        <v>366899</v>
      </c>
      <c r="P33" s="97">
        <v>45967</v>
      </c>
      <c r="Q33" s="98">
        <v>45993</v>
      </c>
      <c r="R33" s="5"/>
      <c r="S33" s="96" t="s">
        <v>320</v>
      </c>
      <c r="T33" s="96">
        <v>379344</v>
      </c>
      <c r="U33" s="127">
        <v>45993</v>
      </c>
      <c r="V33" s="127">
        <v>46013</v>
      </c>
      <c r="W33" s="15"/>
      <c r="X33" s="102"/>
      <c r="Y33" s="102"/>
      <c r="Z33" s="102"/>
      <c r="AA33" s="102"/>
      <c r="AB33" s="103"/>
      <c r="AC33" s="103"/>
      <c r="AD33" s="103"/>
      <c r="AE33" s="100"/>
      <c r="AF33" s="100"/>
      <c r="AG33" s="104"/>
      <c r="AH33" s="104"/>
      <c r="AI33" s="104"/>
      <c r="AJ33" s="104"/>
      <c r="AK33" s="104"/>
      <c r="AL33" s="104"/>
      <c r="AM33" s="104"/>
      <c r="AN33" s="104"/>
      <c r="AO33" s="104"/>
      <c r="AP33" s="104"/>
      <c r="AQ33" s="104"/>
    </row>
    <row r="34" spans="1:43" ht="15.75" customHeight="1">
      <c r="A34" s="18" t="s">
        <v>43</v>
      </c>
      <c r="B34" s="53" t="s">
        <v>46</v>
      </c>
      <c r="C34" s="16">
        <v>1</v>
      </c>
      <c r="D34" s="67" t="s">
        <v>321</v>
      </c>
      <c r="E34" s="67">
        <v>364397</v>
      </c>
      <c r="F34" s="97">
        <v>45964</v>
      </c>
      <c r="G34" s="98">
        <v>45969</v>
      </c>
      <c r="H34" s="89" t="e">
        <f t="shared" ca="1" si="0"/>
        <v>#NAME?</v>
      </c>
      <c r="I34" s="96" t="s">
        <v>322</v>
      </c>
      <c r="J34" s="96">
        <v>364422</v>
      </c>
      <c r="K34" s="127">
        <v>45964</v>
      </c>
      <c r="L34" s="127">
        <v>46018</v>
      </c>
      <c r="M34" s="5">
        <f t="shared" si="1"/>
        <v>40</v>
      </c>
      <c r="N34" s="64"/>
      <c r="O34" s="64"/>
      <c r="P34" s="51"/>
      <c r="Q34" s="36"/>
      <c r="R34" s="15"/>
      <c r="S34" s="15"/>
      <c r="T34" s="15"/>
      <c r="U34" s="15"/>
      <c r="V34" s="15"/>
      <c r="W34" s="15"/>
      <c r="X34" s="102"/>
      <c r="Y34" s="102"/>
      <c r="Z34" s="102"/>
      <c r="AA34" s="102"/>
      <c r="AB34" s="103"/>
      <c r="AC34" s="103"/>
      <c r="AD34" s="103"/>
      <c r="AE34" s="100"/>
      <c r="AF34" s="100"/>
      <c r="AG34" s="104"/>
      <c r="AH34" s="104"/>
      <c r="AI34" s="104"/>
      <c r="AJ34" s="104"/>
      <c r="AK34" s="104"/>
      <c r="AL34" s="104"/>
      <c r="AM34" s="104"/>
      <c r="AN34" s="104"/>
      <c r="AO34" s="104"/>
      <c r="AP34" s="104"/>
      <c r="AQ34" s="104"/>
    </row>
    <row r="35" spans="1:43" ht="15.75" customHeight="1">
      <c r="A35" s="18" t="s">
        <v>43</v>
      </c>
      <c r="B35" s="53" t="s">
        <v>46</v>
      </c>
      <c r="C35" s="15">
        <v>1</v>
      </c>
      <c r="D35" s="96" t="s">
        <v>323</v>
      </c>
      <c r="E35" s="96">
        <v>364395</v>
      </c>
      <c r="F35" s="127">
        <v>45964</v>
      </c>
      <c r="G35" s="127">
        <v>45969</v>
      </c>
      <c r="H35" s="89" t="e">
        <f t="shared" ca="1" si="0"/>
        <v>#NAME?</v>
      </c>
      <c r="I35" s="96" t="s">
        <v>324</v>
      </c>
      <c r="J35" s="96">
        <v>368367</v>
      </c>
      <c r="K35" s="127">
        <v>45971</v>
      </c>
      <c r="L35" s="127">
        <v>45981</v>
      </c>
      <c r="M35" s="5">
        <f t="shared" si="1"/>
        <v>9</v>
      </c>
      <c r="N35" s="64"/>
      <c r="O35" s="64"/>
      <c r="P35" s="51"/>
      <c r="Q35" s="36"/>
      <c r="R35" s="15"/>
      <c r="S35" s="15"/>
      <c r="T35" s="15"/>
      <c r="U35" s="15"/>
      <c r="V35" s="15"/>
      <c r="W35" s="15"/>
      <c r="X35" s="102"/>
      <c r="Y35" s="102"/>
      <c r="Z35" s="102"/>
      <c r="AA35" s="102"/>
      <c r="AB35" s="103"/>
      <c r="AC35" s="103"/>
      <c r="AD35" s="103"/>
      <c r="AE35" s="100"/>
      <c r="AF35" s="100"/>
      <c r="AG35" s="104"/>
      <c r="AH35" s="104"/>
      <c r="AI35" s="104"/>
      <c r="AJ35" s="104"/>
      <c r="AK35" s="104"/>
      <c r="AL35" s="104"/>
      <c r="AM35" s="104"/>
      <c r="AN35" s="104"/>
      <c r="AO35" s="104"/>
      <c r="AP35" s="104"/>
      <c r="AQ35" s="104"/>
    </row>
    <row r="36" spans="1:43" ht="15.75" customHeight="1">
      <c r="A36" s="18" t="s">
        <v>43</v>
      </c>
      <c r="B36" s="53" t="s">
        <v>46</v>
      </c>
      <c r="C36" s="15">
        <v>1</v>
      </c>
      <c r="D36" s="96" t="s">
        <v>293</v>
      </c>
      <c r="E36" s="96">
        <v>366899</v>
      </c>
      <c r="F36" s="97">
        <v>45967</v>
      </c>
      <c r="G36" s="98">
        <v>45972</v>
      </c>
      <c r="H36" s="89" t="e">
        <f t="shared" ca="1" si="0"/>
        <v>#NAME?</v>
      </c>
      <c r="I36" s="96" t="s">
        <v>319</v>
      </c>
      <c r="J36" s="96">
        <v>364430</v>
      </c>
      <c r="K36" s="127">
        <v>45964</v>
      </c>
      <c r="L36" s="127">
        <v>46018</v>
      </c>
      <c r="M36" s="5">
        <f t="shared" si="1"/>
        <v>40</v>
      </c>
      <c r="N36" s="64"/>
      <c r="O36" s="64"/>
      <c r="P36" s="51"/>
      <c r="Q36" s="36"/>
      <c r="R36" s="15"/>
      <c r="S36" s="15"/>
      <c r="T36" s="15"/>
      <c r="U36" s="15"/>
      <c r="V36" s="15"/>
      <c r="W36" s="15"/>
      <c r="X36" s="102"/>
      <c r="Y36" s="102"/>
      <c r="Z36" s="102"/>
      <c r="AA36" s="102"/>
      <c r="AB36" s="103"/>
      <c r="AC36" s="103"/>
      <c r="AD36" s="103"/>
      <c r="AE36" s="100"/>
      <c r="AF36" s="100"/>
      <c r="AG36" s="104"/>
      <c r="AH36" s="104"/>
      <c r="AI36" s="104"/>
      <c r="AJ36" s="104"/>
      <c r="AK36" s="104"/>
      <c r="AL36" s="104"/>
      <c r="AM36" s="104"/>
      <c r="AN36" s="104"/>
      <c r="AO36" s="104"/>
      <c r="AP36" s="104"/>
      <c r="AQ36" s="104"/>
    </row>
    <row r="37" spans="1:43" ht="15.75" customHeight="1">
      <c r="A37" s="18" t="s">
        <v>43</v>
      </c>
      <c r="B37" s="15" t="s">
        <v>47</v>
      </c>
      <c r="C37" s="15">
        <v>1</v>
      </c>
      <c r="D37" s="96" t="s">
        <v>324</v>
      </c>
      <c r="E37" s="96">
        <v>368367</v>
      </c>
      <c r="F37" s="127">
        <v>45971</v>
      </c>
      <c r="G37" s="127">
        <v>45975</v>
      </c>
      <c r="H37" s="89" t="e">
        <f t="shared" ca="1" si="0"/>
        <v>#NAME?</v>
      </c>
      <c r="I37" s="96" t="s">
        <v>126</v>
      </c>
      <c r="J37" s="96">
        <v>364392</v>
      </c>
      <c r="K37" s="127">
        <v>45964</v>
      </c>
      <c r="L37" s="127">
        <v>45980</v>
      </c>
      <c r="M37" s="5">
        <f t="shared" si="1"/>
        <v>13</v>
      </c>
      <c r="N37" s="96" t="s">
        <v>320</v>
      </c>
      <c r="O37" s="96">
        <v>379344</v>
      </c>
      <c r="P37" s="127">
        <v>45993</v>
      </c>
      <c r="Q37" s="127">
        <v>46009</v>
      </c>
      <c r="R37" s="5"/>
      <c r="S37" s="67" t="s">
        <v>318</v>
      </c>
      <c r="T37" s="67">
        <v>323324</v>
      </c>
      <c r="U37" s="97">
        <v>45852</v>
      </c>
      <c r="V37" s="98">
        <v>45994</v>
      </c>
      <c r="W37" s="15"/>
      <c r="X37" s="102"/>
      <c r="Y37" s="102"/>
      <c r="Z37" s="102"/>
      <c r="AA37" s="102"/>
      <c r="AB37" s="103"/>
      <c r="AC37" s="103"/>
      <c r="AD37" s="103"/>
      <c r="AE37" s="100"/>
      <c r="AF37" s="100"/>
      <c r="AG37" s="104"/>
      <c r="AH37" s="104"/>
      <c r="AI37" s="104"/>
      <c r="AJ37" s="104"/>
      <c r="AK37" s="104"/>
      <c r="AL37" s="104"/>
      <c r="AM37" s="104"/>
      <c r="AN37" s="104"/>
      <c r="AO37" s="104"/>
      <c r="AP37" s="104"/>
      <c r="AQ37" s="104"/>
    </row>
    <row r="38" spans="1:43" ht="15.75" customHeight="1">
      <c r="A38" s="18" t="s">
        <v>43</v>
      </c>
      <c r="B38" s="19" t="s">
        <v>48</v>
      </c>
      <c r="C38" s="15">
        <v>1</v>
      </c>
      <c r="D38" s="96" t="s">
        <v>322</v>
      </c>
      <c r="E38" s="96">
        <v>364422</v>
      </c>
      <c r="F38" s="127">
        <v>45964</v>
      </c>
      <c r="G38" s="127">
        <v>45969</v>
      </c>
      <c r="H38" s="89" t="e">
        <f t="shared" ca="1" si="0"/>
        <v>#NAME?</v>
      </c>
      <c r="I38" s="96" t="s">
        <v>325</v>
      </c>
      <c r="J38" s="96">
        <v>390213</v>
      </c>
      <c r="K38" s="97">
        <v>46015</v>
      </c>
      <c r="L38" s="98">
        <v>46027</v>
      </c>
      <c r="M38" s="128"/>
      <c r="N38" s="67"/>
      <c r="O38" s="67"/>
      <c r="P38" s="127"/>
      <c r="Q38" s="127"/>
      <c r="R38" s="5"/>
      <c r="S38" s="15"/>
      <c r="T38" s="15"/>
      <c r="U38" s="15"/>
      <c r="V38" s="15"/>
      <c r="W38" s="15"/>
      <c r="X38" s="102"/>
      <c r="Y38" s="102"/>
      <c r="Z38" s="102"/>
      <c r="AA38" s="102"/>
      <c r="AB38" s="103"/>
      <c r="AC38" s="103"/>
      <c r="AD38" s="103"/>
      <c r="AE38" s="100"/>
      <c r="AF38" s="100"/>
      <c r="AG38" s="104"/>
      <c r="AH38" s="104"/>
      <c r="AI38" s="104"/>
      <c r="AJ38" s="104"/>
      <c r="AK38" s="104"/>
      <c r="AL38" s="104"/>
      <c r="AM38" s="104"/>
      <c r="AN38" s="104"/>
      <c r="AO38" s="104"/>
      <c r="AP38" s="104"/>
      <c r="AQ38" s="104"/>
    </row>
    <row r="39" spans="1:43" ht="15.75" customHeight="1">
      <c r="A39" s="18" t="s">
        <v>43</v>
      </c>
      <c r="B39" s="19" t="s">
        <v>48</v>
      </c>
      <c r="C39" s="15">
        <v>1</v>
      </c>
      <c r="D39" s="96" t="s">
        <v>20</v>
      </c>
      <c r="E39" s="96">
        <v>364482</v>
      </c>
      <c r="F39" s="127">
        <v>45964</v>
      </c>
      <c r="G39" s="127">
        <v>45969</v>
      </c>
      <c r="H39" s="89" t="e">
        <f t="shared" ca="1" si="0"/>
        <v>#NAME?</v>
      </c>
      <c r="I39" s="96" t="s">
        <v>323</v>
      </c>
      <c r="J39" s="96">
        <v>364395</v>
      </c>
      <c r="K39" s="127">
        <v>45964</v>
      </c>
      <c r="L39" s="127">
        <v>46017</v>
      </c>
      <c r="M39" s="5">
        <f t="shared" ref="M39:M110" si="2">NETWORKDAYS(K39,L39)</f>
        <v>40</v>
      </c>
      <c r="N39" s="64"/>
      <c r="O39" s="64"/>
      <c r="P39" s="51"/>
      <c r="Q39" s="36"/>
      <c r="R39" s="15"/>
      <c r="S39" s="15"/>
      <c r="T39" s="15"/>
      <c r="U39" s="15"/>
      <c r="V39" s="15"/>
      <c r="W39" s="15"/>
      <c r="X39" s="102"/>
      <c r="Y39" s="102"/>
      <c r="Z39" s="102"/>
      <c r="AA39" s="102"/>
      <c r="AB39" s="103"/>
      <c r="AC39" s="103"/>
      <c r="AD39" s="103"/>
      <c r="AE39" s="100"/>
      <c r="AF39" s="100"/>
      <c r="AG39" s="104"/>
      <c r="AH39" s="104"/>
      <c r="AI39" s="104"/>
      <c r="AJ39" s="104"/>
      <c r="AK39" s="104"/>
      <c r="AL39" s="104"/>
      <c r="AM39" s="104"/>
      <c r="AN39" s="104"/>
      <c r="AO39" s="104"/>
      <c r="AP39" s="104"/>
      <c r="AQ39" s="104"/>
    </row>
    <row r="40" spans="1:43" ht="15.75" customHeight="1">
      <c r="A40" s="18" t="s">
        <v>43</v>
      </c>
      <c r="B40" s="15" t="s">
        <v>49</v>
      </c>
      <c r="C40" s="15">
        <v>1</v>
      </c>
      <c r="D40" s="96" t="s">
        <v>326</v>
      </c>
      <c r="E40" s="96">
        <v>365433</v>
      </c>
      <c r="F40" s="127">
        <v>45964</v>
      </c>
      <c r="G40" s="127">
        <v>45969</v>
      </c>
      <c r="H40" s="89" t="e">
        <f t="shared" ca="1" si="0"/>
        <v>#NAME?</v>
      </c>
      <c r="I40" s="67" t="s">
        <v>86</v>
      </c>
      <c r="J40" s="96">
        <v>366878</v>
      </c>
      <c r="K40" s="127">
        <v>45967</v>
      </c>
      <c r="L40" s="127">
        <v>45971</v>
      </c>
      <c r="M40" s="5">
        <f t="shared" si="2"/>
        <v>3</v>
      </c>
      <c r="N40" s="67" t="s">
        <v>220</v>
      </c>
      <c r="O40" s="67">
        <v>379599</v>
      </c>
      <c r="P40" s="127">
        <v>45992</v>
      </c>
      <c r="Q40" s="127">
        <v>45994</v>
      </c>
      <c r="R40" s="5"/>
      <c r="S40" s="96" t="s">
        <v>324</v>
      </c>
      <c r="T40" s="96">
        <v>368367</v>
      </c>
      <c r="U40" s="127">
        <v>45971</v>
      </c>
      <c r="V40" s="127">
        <v>45992</v>
      </c>
      <c r="W40" s="15"/>
      <c r="X40" s="102"/>
      <c r="Y40" s="102"/>
      <c r="Z40" s="102"/>
      <c r="AA40" s="102"/>
      <c r="AB40" s="103"/>
      <c r="AC40" s="103"/>
      <c r="AD40" s="103"/>
      <c r="AE40" s="100"/>
      <c r="AF40" s="100"/>
      <c r="AG40" s="104"/>
      <c r="AH40" s="104"/>
      <c r="AI40" s="104"/>
      <c r="AJ40" s="104"/>
      <c r="AK40" s="104"/>
      <c r="AL40" s="104"/>
      <c r="AM40" s="104"/>
      <c r="AN40" s="104"/>
      <c r="AO40" s="104"/>
      <c r="AP40" s="104"/>
      <c r="AQ40" s="104"/>
    </row>
    <row r="41" spans="1:43" ht="15.75" customHeight="1">
      <c r="A41" s="18" t="s">
        <v>43</v>
      </c>
      <c r="B41" s="53" t="s">
        <v>51</v>
      </c>
      <c r="C41" s="16">
        <v>1</v>
      </c>
      <c r="D41" s="67" t="s">
        <v>86</v>
      </c>
      <c r="E41" s="96">
        <v>366878</v>
      </c>
      <c r="F41" s="97">
        <v>45967</v>
      </c>
      <c r="G41" s="98">
        <v>45988</v>
      </c>
      <c r="H41" s="89" t="e">
        <f t="shared" ca="1" si="0"/>
        <v>#NAME?</v>
      </c>
      <c r="I41" s="96" t="s">
        <v>20</v>
      </c>
      <c r="J41" s="96">
        <v>364482</v>
      </c>
      <c r="K41" s="97">
        <v>45964</v>
      </c>
      <c r="L41" s="98">
        <v>45992</v>
      </c>
      <c r="M41" s="5">
        <f t="shared" si="2"/>
        <v>21</v>
      </c>
      <c r="N41" s="96" t="s">
        <v>326</v>
      </c>
      <c r="O41" s="96">
        <v>365433</v>
      </c>
      <c r="P41" s="127">
        <v>45964</v>
      </c>
      <c r="Q41" s="127">
        <v>46007</v>
      </c>
      <c r="R41" s="129"/>
      <c r="S41" s="38"/>
      <c r="T41" s="38"/>
      <c r="U41" s="51"/>
      <c r="V41" s="51"/>
      <c r="W41" s="15"/>
      <c r="X41" s="102"/>
      <c r="Y41" s="102"/>
      <c r="Z41" s="102"/>
      <c r="AA41" s="102"/>
      <c r="AB41" s="103"/>
      <c r="AC41" s="103"/>
      <c r="AD41" s="103"/>
      <c r="AE41" s="100"/>
      <c r="AF41" s="100"/>
      <c r="AG41" s="104"/>
      <c r="AH41" s="104"/>
      <c r="AI41" s="104"/>
      <c r="AJ41" s="104"/>
      <c r="AK41" s="104"/>
      <c r="AL41" s="104"/>
      <c r="AM41" s="104"/>
      <c r="AN41" s="104"/>
      <c r="AO41" s="104"/>
      <c r="AP41" s="104"/>
      <c r="AQ41" s="104"/>
    </row>
    <row r="42" spans="1:43" ht="15.75" customHeight="1">
      <c r="A42" s="18" t="s">
        <v>43</v>
      </c>
      <c r="B42" s="53" t="s">
        <v>51</v>
      </c>
      <c r="C42" s="15">
        <v>1</v>
      </c>
      <c r="D42" s="96" t="s">
        <v>327</v>
      </c>
      <c r="E42" s="96">
        <v>364398</v>
      </c>
      <c r="F42" s="127">
        <v>45964</v>
      </c>
      <c r="G42" s="127">
        <v>45969</v>
      </c>
      <c r="H42" s="89" t="e">
        <f t="shared" ca="1" si="0"/>
        <v>#NAME?</v>
      </c>
      <c r="I42" s="61" t="s">
        <v>328</v>
      </c>
      <c r="J42" s="61">
        <v>371118</v>
      </c>
      <c r="K42" s="97">
        <v>45975</v>
      </c>
      <c r="L42" s="97">
        <v>45981</v>
      </c>
      <c r="M42" s="5">
        <f t="shared" si="2"/>
        <v>5</v>
      </c>
      <c r="N42" s="64"/>
      <c r="O42" s="64"/>
      <c r="P42" s="51"/>
      <c r="Q42" s="36"/>
      <c r="R42" s="5"/>
      <c r="S42" s="15"/>
      <c r="T42" s="15"/>
      <c r="U42" s="15"/>
      <c r="V42" s="15"/>
      <c r="W42" s="15"/>
      <c r="X42" s="102"/>
      <c r="Y42" s="102"/>
      <c r="Z42" s="102"/>
      <c r="AA42" s="102"/>
      <c r="AB42" s="103"/>
      <c r="AC42" s="103"/>
      <c r="AD42" s="103"/>
      <c r="AE42" s="100"/>
      <c r="AF42" s="100"/>
      <c r="AG42" s="104"/>
      <c r="AH42" s="104"/>
      <c r="AI42" s="104"/>
      <c r="AJ42" s="104"/>
      <c r="AK42" s="104"/>
      <c r="AL42" s="104"/>
      <c r="AM42" s="104"/>
      <c r="AN42" s="104"/>
      <c r="AO42" s="104"/>
      <c r="AP42" s="104"/>
      <c r="AQ42" s="104"/>
    </row>
    <row r="43" spans="1:43" ht="15.75" customHeight="1">
      <c r="A43" s="18" t="s">
        <v>43</v>
      </c>
      <c r="B43" s="53" t="s">
        <v>51</v>
      </c>
      <c r="C43" s="16">
        <v>1</v>
      </c>
      <c r="D43" s="96" t="s">
        <v>73</v>
      </c>
      <c r="E43" s="96">
        <v>364432</v>
      </c>
      <c r="F43" s="127">
        <v>45964</v>
      </c>
      <c r="G43" s="127">
        <v>45969</v>
      </c>
      <c r="H43" s="89" t="e">
        <f t="shared" ca="1" si="0"/>
        <v>#NAME?</v>
      </c>
      <c r="I43" s="96" t="s">
        <v>293</v>
      </c>
      <c r="J43" s="96">
        <v>163324</v>
      </c>
      <c r="K43" s="97">
        <v>45479</v>
      </c>
      <c r="L43" s="98">
        <v>45790</v>
      </c>
      <c r="M43" s="5">
        <f t="shared" si="2"/>
        <v>222</v>
      </c>
      <c r="N43" s="64"/>
      <c r="O43" s="64"/>
      <c r="P43" s="51"/>
      <c r="Q43" s="36"/>
      <c r="R43" s="15"/>
      <c r="S43" s="15"/>
      <c r="T43" s="15"/>
      <c r="U43" s="15"/>
      <c r="V43" s="15"/>
      <c r="W43" s="15"/>
      <c r="X43" s="102"/>
      <c r="Y43" s="102"/>
      <c r="Z43" s="102"/>
      <c r="AA43" s="102"/>
      <c r="AB43" s="103"/>
      <c r="AC43" s="103"/>
      <c r="AD43" s="103"/>
      <c r="AE43" s="100"/>
      <c r="AF43" s="100"/>
      <c r="AG43" s="104"/>
      <c r="AH43" s="104"/>
      <c r="AI43" s="104"/>
      <c r="AJ43" s="104"/>
      <c r="AK43" s="104"/>
      <c r="AL43" s="104"/>
      <c r="AM43" s="104"/>
      <c r="AN43" s="104"/>
      <c r="AO43" s="104"/>
      <c r="AP43" s="104"/>
      <c r="AQ43" s="104"/>
    </row>
    <row r="44" spans="1:43" ht="15.75" customHeight="1">
      <c r="A44" s="18" t="s">
        <v>43</v>
      </c>
      <c r="B44" s="53" t="s">
        <v>52</v>
      </c>
      <c r="C44" s="16">
        <v>1</v>
      </c>
      <c r="D44" s="96" t="s">
        <v>329</v>
      </c>
      <c r="E44" s="96">
        <v>368381</v>
      </c>
      <c r="F44" s="97">
        <v>45971</v>
      </c>
      <c r="G44" s="98">
        <v>45981</v>
      </c>
      <c r="H44" s="89" t="e">
        <f t="shared" ca="1" si="0"/>
        <v>#NAME?</v>
      </c>
      <c r="I44" s="96" t="s">
        <v>73</v>
      </c>
      <c r="J44" s="96">
        <v>364432</v>
      </c>
      <c r="K44" s="127">
        <v>45964</v>
      </c>
      <c r="L44" s="127">
        <v>46009</v>
      </c>
      <c r="M44" s="5">
        <f t="shared" si="2"/>
        <v>34</v>
      </c>
      <c r="N44" s="64"/>
      <c r="O44" s="64"/>
      <c r="P44" s="51"/>
      <c r="Q44" s="36"/>
      <c r="R44" s="15"/>
      <c r="S44" s="15"/>
      <c r="T44" s="15"/>
      <c r="U44" s="15"/>
      <c r="V44" s="15"/>
      <c r="W44" s="15"/>
      <c r="X44" s="102"/>
      <c r="Y44" s="102"/>
      <c r="Z44" s="102"/>
      <c r="AA44" s="102"/>
      <c r="AB44" s="103"/>
      <c r="AC44" s="103"/>
      <c r="AD44" s="103"/>
      <c r="AE44" s="100"/>
      <c r="AF44" s="100"/>
      <c r="AG44" s="104"/>
      <c r="AH44" s="104"/>
      <c r="AI44" s="104"/>
      <c r="AJ44" s="104"/>
      <c r="AK44" s="104"/>
      <c r="AL44" s="104"/>
      <c r="AM44" s="104"/>
      <c r="AN44" s="104"/>
      <c r="AO44" s="104"/>
      <c r="AP44" s="104"/>
      <c r="AQ44" s="104"/>
    </row>
    <row r="45" spans="1:43" ht="15.75" customHeight="1">
      <c r="A45" s="18" t="s">
        <v>43</v>
      </c>
      <c r="B45" s="53" t="s">
        <v>52</v>
      </c>
      <c r="C45" s="16">
        <v>1</v>
      </c>
      <c r="D45" s="96"/>
      <c r="E45" s="96"/>
      <c r="F45" s="127"/>
      <c r="G45" s="127"/>
      <c r="H45" s="89" t="e">
        <f t="shared" ca="1" si="0"/>
        <v>#NAME?</v>
      </c>
      <c r="I45" s="96" t="s">
        <v>293</v>
      </c>
      <c r="J45" s="96">
        <v>163324</v>
      </c>
      <c r="K45" s="97">
        <v>45479</v>
      </c>
      <c r="L45" s="83">
        <v>46001</v>
      </c>
      <c r="M45" s="5">
        <f t="shared" si="2"/>
        <v>373</v>
      </c>
      <c r="N45" s="64"/>
      <c r="O45" s="64"/>
      <c r="P45" s="51"/>
      <c r="Q45" s="36"/>
      <c r="R45" s="15"/>
      <c r="S45" s="15"/>
      <c r="T45" s="15"/>
      <c r="U45" s="15"/>
      <c r="V45" s="15"/>
      <c r="W45" s="15"/>
      <c r="X45" s="102"/>
      <c r="Y45" s="102"/>
      <c r="Z45" s="102"/>
      <c r="AA45" s="102"/>
      <c r="AB45" s="103"/>
      <c r="AC45" s="103"/>
      <c r="AD45" s="103"/>
      <c r="AE45" s="100"/>
      <c r="AF45" s="100"/>
      <c r="AG45" s="104"/>
      <c r="AH45" s="104"/>
      <c r="AI45" s="104"/>
      <c r="AJ45" s="104"/>
      <c r="AK45" s="104"/>
      <c r="AL45" s="104"/>
      <c r="AM45" s="104"/>
      <c r="AN45" s="104"/>
      <c r="AO45" s="104"/>
      <c r="AP45" s="104"/>
      <c r="AQ45" s="104"/>
    </row>
    <row r="46" spans="1:43" ht="15.75" customHeight="1">
      <c r="A46" s="18" t="s">
        <v>43</v>
      </c>
      <c r="B46" s="53" t="s">
        <v>52</v>
      </c>
      <c r="C46" s="16">
        <v>1</v>
      </c>
      <c r="D46" s="96" t="s">
        <v>330</v>
      </c>
      <c r="E46" s="96">
        <v>385538</v>
      </c>
      <c r="F46" s="97">
        <v>46004</v>
      </c>
      <c r="G46" s="98">
        <v>46010</v>
      </c>
      <c r="H46" s="89" t="e">
        <f t="shared" ca="1" si="0"/>
        <v>#NAME?</v>
      </c>
      <c r="I46" s="96" t="s">
        <v>327</v>
      </c>
      <c r="J46" s="96">
        <v>364398</v>
      </c>
      <c r="K46" s="127">
        <v>45964</v>
      </c>
      <c r="L46" s="127">
        <v>46021</v>
      </c>
      <c r="M46" s="5">
        <f t="shared" si="2"/>
        <v>42</v>
      </c>
      <c r="N46" s="64"/>
      <c r="O46" s="64"/>
      <c r="P46" s="33"/>
      <c r="Q46" s="15"/>
      <c r="R46" s="15"/>
      <c r="S46" s="15"/>
      <c r="T46" s="15"/>
      <c r="U46" s="15"/>
      <c r="V46" s="15"/>
      <c r="W46" s="15"/>
      <c r="X46" s="102"/>
      <c r="Y46" s="102"/>
      <c r="Z46" s="102"/>
      <c r="AA46" s="102"/>
      <c r="AB46" s="103"/>
      <c r="AC46" s="103"/>
      <c r="AD46" s="103"/>
      <c r="AE46" s="100"/>
      <c r="AF46" s="100"/>
      <c r="AG46" s="104"/>
      <c r="AH46" s="104"/>
      <c r="AI46" s="104"/>
      <c r="AJ46" s="104"/>
      <c r="AK46" s="104"/>
      <c r="AL46" s="104"/>
      <c r="AM46" s="104"/>
      <c r="AN46" s="104"/>
      <c r="AO46" s="104"/>
      <c r="AP46" s="104"/>
      <c r="AQ46" s="104"/>
    </row>
    <row r="47" spans="1:43" ht="15.75" customHeight="1">
      <c r="A47" s="18" t="s">
        <v>43</v>
      </c>
      <c r="B47" s="53" t="s">
        <v>52</v>
      </c>
      <c r="C47" s="16">
        <v>1</v>
      </c>
      <c r="D47" s="96" t="s">
        <v>331</v>
      </c>
      <c r="E47" s="96">
        <v>366897</v>
      </c>
      <c r="F47" s="97">
        <v>45967</v>
      </c>
      <c r="G47" s="98">
        <v>45973</v>
      </c>
      <c r="H47" s="89" t="e">
        <f t="shared" ca="1" si="0"/>
        <v>#NAME?</v>
      </c>
      <c r="I47" s="61"/>
      <c r="J47" s="61"/>
      <c r="K47" s="97"/>
      <c r="L47" s="98"/>
      <c r="M47" s="5">
        <f t="shared" si="2"/>
        <v>0</v>
      </c>
      <c r="N47" s="130"/>
      <c r="O47" s="64"/>
      <c r="P47" s="33"/>
      <c r="Q47" s="15"/>
      <c r="R47" s="15"/>
      <c r="S47" s="15"/>
      <c r="T47" s="15"/>
      <c r="U47" s="15"/>
      <c r="V47" s="15"/>
      <c r="W47" s="15"/>
      <c r="X47" s="102"/>
      <c r="Y47" s="102"/>
      <c r="Z47" s="102"/>
      <c r="AA47" s="102"/>
      <c r="AB47" s="103"/>
      <c r="AC47" s="103"/>
      <c r="AD47" s="103"/>
      <c r="AE47" s="100"/>
      <c r="AF47" s="100"/>
      <c r="AG47" s="104"/>
      <c r="AH47" s="104"/>
      <c r="AI47" s="104"/>
      <c r="AJ47" s="104"/>
      <c r="AK47" s="104"/>
      <c r="AL47" s="104"/>
      <c r="AM47" s="104"/>
      <c r="AN47" s="104"/>
      <c r="AO47" s="104"/>
      <c r="AP47" s="104"/>
      <c r="AQ47" s="104"/>
    </row>
    <row r="48" spans="1:43" ht="15.75" customHeight="1">
      <c r="A48" s="18" t="s">
        <v>43</v>
      </c>
      <c r="B48" s="53" t="s">
        <v>52</v>
      </c>
      <c r="C48" s="16">
        <v>1</v>
      </c>
      <c r="D48" s="61" t="s">
        <v>328</v>
      </c>
      <c r="E48" s="61">
        <v>371118</v>
      </c>
      <c r="F48" s="97">
        <v>45975</v>
      </c>
      <c r="G48" s="98">
        <v>45992</v>
      </c>
      <c r="H48" s="89" t="e">
        <f t="shared" ca="1" si="0"/>
        <v>#NAME?</v>
      </c>
      <c r="I48" s="64"/>
      <c r="J48" s="64"/>
      <c r="K48" s="51"/>
      <c r="L48" s="36"/>
      <c r="M48" s="5">
        <f t="shared" si="2"/>
        <v>0</v>
      </c>
      <c r="N48" s="64"/>
      <c r="O48" s="64"/>
      <c r="P48" s="33"/>
      <c r="Q48" s="15"/>
      <c r="R48" s="15"/>
      <c r="S48" s="15"/>
      <c r="T48" s="15"/>
      <c r="U48" s="15"/>
      <c r="V48" s="15"/>
      <c r="W48" s="15"/>
      <c r="X48" s="102"/>
      <c r="Y48" s="102"/>
      <c r="Z48" s="102"/>
      <c r="AA48" s="102"/>
      <c r="AB48" s="103"/>
      <c r="AC48" s="103"/>
      <c r="AD48" s="103"/>
      <c r="AE48" s="100"/>
      <c r="AF48" s="100"/>
      <c r="AG48" s="104"/>
      <c r="AH48" s="104"/>
      <c r="AI48" s="104"/>
      <c r="AJ48" s="104"/>
      <c r="AK48" s="104"/>
      <c r="AL48" s="104"/>
      <c r="AM48" s="104"/>
      <c r="AN48" s="104"/>
      <c r="AO48" s="104"/>
      <c r="AP48" s="104"/>
      <c r="AQ48" s="104"/>
    </row>
    <row r="49" spans="1:43" ht="15.75" customHeight="1">
      <c r="A49" s="18" t="s">
        <v>43</v>
      </c>
      <c r="B49" s="15" t="s">
        <v>57</v>
      </c>
      <c r="C49" s="15">
        <v>1</v>
      </c>
      <c r="D49" s="96" t="s">
        <v>332</v>
      </c>
      <c r="E49" s="96">
        <v>364455</v>
      </c>
      <c r="F49" s="127">
        <v>45964</v>
      </c>
      <c r="G49" s="127">
        <v>45969</v>
      </c>
      <c r="H49" s="89" t="e">
        <f t="shared" ca="1" si="0"/>
        <v>#NAME?</v>
      </c>
      <c r="I49" s="96" t="s">
        <v>333</v>
      </c>
      <c r="J49" s="96">
        <v>381809</v>
      </c>
      <c r="K49" s="51">
        <v>45997</v>
      </c>
      <c r="L49" s="98">
        <v>46008</v>
      </c>
      <c r="M49" s="5">
        <f t="shared" si="2"/>
        <v>8</v>
      </c>
      <c r="N49" s="96" t="s">
        <v>331</v>
      </c>
      <c r="O49" s="96">
        <v>366897</v>
      </c>
      <c r="P49" s="97">
        <v>45967</v>
      </c>
      <c r="Q49" s="97">
        <v>46014</v>
      </c>
      <c r="R49" s="5"/>
      <c r="S49" s="96" t="s">
        <v>334</v>
      </c>
      <c r="T49" s="96">
        <v>368378</v>
      </c>
      <c r="U49" s="127">
        <v>45971</v>
      </c>
      <c r="V49" s="127">
        <v>46016</v>
      </c>
      <c r="W49" s="15"/>
      <c r="X49" s="102"/>
      <c r="Y49" s="102"/>
      <c r="Z49" s="102"/>
      <c r="AA49" s="102"/>
      <c r="AB49" s="103"/>
      <c r="AC49" s="103"/>
      <c r="AD49" s="103"/>
      <c r="AE49" s="100"/>
      <c r="AF49" s="100"/>
      <c r="AG49" s="104"/>
      <c r="AH49" s="104"/>
      <c r="AI49" s="104"/>
      <c r="AJ49" s="104"/>
      <c r="AK49" s="104"/>
      <c r="AL49" s="104"/>
      <c r="AM49" s="104"/>
      <c r="AN49" s="104"/>
      <c r="AO49" s="104"/>
      <c r="AP49" s="104"/>
      <c r="AQ49" s="104"/>
    </row>
    <row r="50" spans="1:43" ht="15.75" customHeight="1">
      <c r="A50" s="18" t="s">
        <v>43</v>
      </c>
      <c r="B50" s="15" t="s">
        <v>58</v>
      </c>
      <c r="C50" s="15">
        <v>1</v>
      </c>
      <c r="D50" s="96" t="s">
        <v>289</v>
      </c>
      <c r="E50" s="96">
        <v>366873</v>
      </c>
      <c r="F50" s="127">
        <v>45967</v>
      </c>
      <c r="G50" s="127">
        <v>46021</v>
      </c>
      <c r="H50" s="89" t="e">
        <f t="shared" ca="1" si="0"/>
        <v>#NAME?</v>
      </c>
      <c r="I50" s="96" t="s">
        <v>323</v>
      </c>
      <c r="J50" s="96">
        <v>364395</v>
      </c>
      <c r="K50" s="127">
        <v>45964</v>
      </c>
      <c r="L50" s="127">
        <v>45992</v>
      </c>
      <c r="M50" s="5">
        <f t="shared" si="2"/>
        <v>21</v>
      </c>
      <c r="N50" s="96" t="s">
        <v>329</v>
      </c>
      <c r="O50" s="96">
        <v>368381</v>
      </c>
      <c r="P50" s="97">
        <v>45971</v>
      </c>
      <c r="Q50" s="98">
        <v>45973</v>
      </c>
      <c r="R50" s="15"/>
      <c r="S50" s="96" t="s">
        <v>289</v>
      </c>
      <c r="T50" s="96">
        <v>366873</v>
      </c>
      <c r="U50" s="127">
        <v>45967</v>
      </c>
      <c r="V50" s="127">
        <v>46021</v>
      </c>
      <c r="W50" s="15"/>
      <c r="X50" s="102"/>
      <c r="Y50" s="102"/>
      <c r="Z50" s="102"/>
      <c r="AA50" s="102"/>
      <c r="AB50" s="103"/>
      <c r="AC50" s="103"/>
      <c r="AD50" s="103"/>
      <c r="AE50" s="100"/>
      <c r="AF50" s="100"/>
      <c r="AG50" s="104"/>
      <c r="AH50" s="104"/>
      <c r="AI50" s="104"/>
      <c r="AJ50" s="104"/>
      <c r="AK50" s="104"/>
      <c r="AL50" s="104"/>
      <c r="AM50" s="104"/>
      <c r="AN50" s="104"/>
      <c r="AO50" s="104"/>
      <c r="AP50" s="104"/>
      <c r="AQ50" s="104"/>
    </row>
    <row r="51" spans="1:43" ht="15.75" customHeight="1">
      <c r="A51" s="18" t="s">
        <v>43</v>
      </c>
      <c r="B51" s="15" t="s">
        <v>59</v>
      </c>
      <c r="C51" s="15">
        <v>1</v>
      </c>
      <c r="D51" s="96" t="s">
        <v>319</v>
      </c>
      <c r="E51" s="96">
        <v>364430</v>
      </c>
      <c r="F51" s="97">
        <v>45964</v>
      </c>
      <c r="G51" s="98">
        <v>46004</v>
      </c>
      <c r="H51" s="89" t="e">
        <f t="shared" ca="1" si="0"/>
        <v>#NAME?</v>
      </c>
      <c r="I51" s="96" t="s">
        <v>335</v>
      </c>
      <c r="J51" s="96">
        <v>368561</v>
      </c>
      <c r="K51" s="97">
        <v>45971</v>
      </c>
      <c r="L51" s="98">
        <v>45975</v>
      </c>
      <c r="M51" s="5">
        <f t="shared" si="2"/>
        <v>5</v>
      </c>
      <c r="N51" s="96" t="s">
        <v>289</v>
      </c>
      <c r="O51" s="96">
        <v>366873</v>
      </c>
      <c r="P51" s="127">
        <v>45967</v>
      </c>
      <c r="Q51" s="127">
        <v>46015</v>
      </c>
      <c r="R51" s="5"/>
      <c r="S51" s="38"/>
      <c r="T51" s="38"/>
      <c r="U51" s="36"/>
      <c r="V51" s="36"/>
      <c r="W51" s="15"/>
      <c r="X51" s="102"/>
      <c r="Y51" s="102"/>
      <c r="Z51" s="102"/>
      <c r="AA51" s="102"/>
      <c r="AB51" s="103"/>
      <c r="AC51" s="103"/>
      <c r="AD51" s="103"/>
      <c r="AE51" s="100"/>
      <c r="AF51" s="100"/>
      <c r="AG51" s="104"/>
      <c r="AH51" s="104"/>
      <c r="AI51" s="104"/>
      <c r="AJ51" s="104"/>
      <c r="AK51" s="104"/>
      <c r="AL51" s="104"/>
      <c r="AM51" s="104"/>
      <c r="AN51" s="104"/>
      <c r="AO51" s="104"/>
      <c r="AP51" s="104"/>
      <c r="AQ51" s="104"/>
    </row>
    <row r="52" spans="1:43" ht="15.75" customHeight="1">
      <c r="A52" s="18" t="s">
        <v>43</v>
      </c>
      <c r="B52" s="15" t="s">
        <v>61</v>
      </c>
      <c r="C52" s="15">
        <v>1</v>
      </c>
      <c r="D52" s="96" t="s">
        <v>55</v>
      </c>
      <c r="E52" s="96">
        <v>364393</v>
      </c>
      <c r="F52" s="127">
        <v>45964</v>
      </c>
      <c r="G52" s="127">
        <v>45969</v>
      </c>
      <c r="H52" s="89" t="e">
        <f t="shared" ca="1" si="0"/>
        <v>#NAME?</v>
      </c>
      <c r="I52" s="96" t="s">
        <v>334</v>
      </c>
      <c r="J52" s="96">
        <v>368378</v>
      </c>
      <c r="K52" s="127">
        <v>45971</v>
      </c>
      <c r="L52" s="127">
        <v>45982</v>
      </c>
      <c r="M52" s="5">
        <f t="shared" si="2"/>
        <v>10</v>
      </c>
      <c r="N52" s="96" t="s">
        <v>320</v>
      </c>
      <c r="O52" s="96">
        <v>379344</v>
      </c>
      <c r="P52" s="127">
        <v>45993</v>
      </c>
      <c r="Q52" s="127">
        <v>45995</v>
      </c>
      <c r="R52" s="5"/>
      <c r="S52" s="15"/>
      <c r="T52" s="15"/>
      <c r="U52" s="33"/>
      <c r="V52" s="37"/>
      <c r="W52" s="15"/>
      <c r="X52" s="38"/>
      <c r="Y52" s="38"/>
      <c r="Z52" s="51"/>
      <c r="AA52" s="51"/>
      <c r="AB52" s="103"/>
      <c r="AC52" s="103"/>
      <c r="AD52" s="103"/>
      <c r="AE52" s="100"/>
      <c r="AF52" s="100"/>
      <c r="AG52" s="104"/>
      <c r="AH52" s="104"/>
      <c r="AI52" s="104"/>
      <c r="AJ52" s="104"/>
      <c r="AK52" s="104"/>
      <c r="AL52" s="104"/>
      <c r="AM52" s="104"/>
      <c r="AN52" s="104"/>
      <c r="AO52" s="104"/>
      <c r="AP52" s="104"/>
      <c r="AQ52" s="104"/>
    </row>
    <row r="53" spans="1:43" ht="15.75" customHeight="1">
      <c r="A53" s="18" t="s">
        <v>43</v>
      </c>
      <c r="B53" s="15" t="s">
        <v>62</v>
      </c>
      <c r="C53" s="15">
        <v>1</v>
      </c>
      <c r="D53" s="96" t="s">
        <v>293</v>
      </c>
      <c r="E53" s="96">
        <v>163324</v>
      </c>
      <c r="F53" s="97">
        <v>45967</v>
      </c>
      <c r="G53" s="98">
        <v>45974</v>
      </c>
      <c r="H53" s="89" t="e">
        <f t="shared" ca="1" si="0"/>
        <v>#NAME?</v>
      </c>
      <c r="I53" s="96" t="s">
        <v>55</v>
      </c>
      <c r="J53" s="96">
        <v>364393</v>
      </c>
      <c r="K53" s="127">
        <v>45964</v>
      </c>
      <c r="L53" s="127">
        <v>46003</v>
      </c>
      <c r="M53" s="5">
        <f t="shared" si="2"/>
        <v>30</v>
      </c>
      <c r="N53" s="96" t="s">
        <v>293</v>
      </c>
      <c r="O53" s="96">
        <v>366899</v>
      </c>
      <c r="P53" s="97">
        <v>45967</v>
      </c>
      <c r="Q53" s="98">
        <v>46021</v>
      </c>
      <c r="R53" s="5"/>
      <c r="S53" s="38"/>
      <c r="T53" s="38"/>
      <c r="U53" s="51"/>
      <c r="V53" s="36"/>
      <c r="W53" s="15"/>
      <c r="X53" s="15"/>
      <c r="Y53" s="5"/>
      <c r="Z53" s="15"/>
      <c r="AA53" s="36"/>
      <c r="AB53" s="103"/>
      <c r="AC53" s="103"/>
      <c r="AD53" s="103"/>
      <c r="AE53" s="100"/>
      <c r="AF53" s="100"/>
      <c r="AG53" s="104"/>
      <c r="AH53" s="104"/>
      <c r="AI53" s="104"/>
      <c r="AJ53" s="104"/>
      <c r="AK53" s="104"/>
      <c r="AL53" s="104"/>
      <c r="AM53" s="104"/>
      <c r="AN53" s="104"/>
      <c r="AO53" s="104"/>
      <c r="AP53" s="104"/>
      <c r="AQ53" s="104"/>
    </row>
    <row r="54" spans="1:43" ht="15.75" customHeight="1">
      <c r="A54" s="18" t="s">
        <v>43</v>
      </c>
      <c r="B54" s="18" t="s">
        <v>63</v>
      </c>
      <c r="C54" s="15">
        <v>1</v>
      </c>
      <c r="D54" s="96" t="s">
        <v>335</v>
      </c>
      <c r="E54" s="96">
        <v>368561</v>
      </c>
      <c r="F54" s="127">
        <v>45971</v>
      </c>
      <c r="G54" s="127">
        <v>45999</v>
      </c>
      <c r="H54" s="89" t="e">
        <f t="shared" ca="1" si="0"/>
        <v>#NAME?</v>
      </c>
      <c r="I54" s="96" t="s">
        <v>332</v>
      </c>
      <c r="J54" s="96">
        <v>364455</v>
      </c>
      <c r="K54" s="127">
        <v>45964</v>
      </c>
      <c r="L54" s="127">
        <v>46009</v>
      </c>
      <c r="M54" s="5">
        <f t="shared" si="2"/>
        <v>34</v>
      </c>
      <c r="N54" s="67" t="s">
        <v>86</v>
      </c>
      <c r="O54" s="96">
        <v>366878</v>
      </c>
      <c r="P54" s="127">
        <v>45967</v>
      </c>
      <c r="Q54" s="127">
        <v>46014</v>
      </c>
      <c r="R54" s="5"/>
      <c r="S54" s="96" t="s">
        <v>293</v>
      </c>
      <c r="T54" s="96">
        <v>163324</v>
      </c>
      <c r="U54" s="97">
        <v>45479</v>
      </c>
      <c r="V54" s="98">
        <v>46015</v>
      </c>
      <c r="W54" s="15"/>
      <c r="X54" s="38"/>
      <c r="Y54" s="38"/>
      <c r="Z54" s="51"/>
      <c r="AA54" s="36"/>
      <c r="AB54" s="103"/>
      <c r="AC54" s="103"/>
      <c r="AD54" s="103"/>
      <c r="AE54" s="100"/>
      <c r="AF54" s="100"/>
      <c r="AG54" s="104"/>
      <c r="AH54" s="104"/>
      <c r="AI54" s="104"/>
      <c r="AJ54" s="104"/>
      <c r="AK54" s="104"/>
      <c r="AL54" s="104"/>
      <c r="AM54" s="104"/>
      <c r="AN54" s="104"/>
      <c r="AO54" s="104"/>
      <c r="AP54" s="104"/>
      <c r="AQ54" s="104"/>
    </row>
    <row r="55" spans="1:43" ht="15.75" customHeight="1">
      <c r="A55" s="18" t="s">
        <v>43</v>
      </c>
      <c r="B55" s="15" t="s">
        <v>64</v>
      </c>
      <c r="C55" s="15">
        <v>1</v>
      </c>
      <c r="D55" s="96" t="s">
        <v>126</v>
      </c>
      <c r="E55" s="96">
        <v>364392</v>
      </c>
      <c r="F55" s="127">
        <v>45964</v>
      </c>
      <c r="G55" s="127">
        <v>45969</v>
      </c>
      <c r="H55" s="89" t="e">
        <f t="shared" ca="1" si="0"/>
        <v>#NAME?</v>
      </c>
      <c r="I55" s="96" t="s">
        <v>320</v>
      </c>
      <c r="J55" s="96">
        <v>379344</v>
      </c>
      <c r="K55" s="127">
        <v>45993</v>
      </c>
      <c r="L55" s="127">
        <v>45997</v>
      </c>
      <c r="M55" s="5">
        <f t="shared" si="2"/>
        <v>4</v>
      </c>
      <c r="N55" s="96" t="s">
        <v>55</v>
      </c>
      <c r="O55" s="96">
        <v>364393</v>
      </c>
      <c r="P55" s="127">
        <v>45964</v>
      </c>
      <c r="Q55" s="127">
        <v>45986</v>
      </c>
      <c r="R55" s="5"/>
      <c r="S55" s="15"/>
      <c r="T55" s="5"/>
      <c r="U55" s="33"/>
      <c r="V55" s="15"/>
      <c r="W55" s="15"/>
      <c r="X55" s="38"/>
      <c r="Y55" s="65"/>
      <c r="Z55" s="51"/>
      <c r="AA55" s="51"/>
      <c r="AB55" s="103"/>
      <c r="AC55" s="103"/>
      <c r="AD55" s="103"/>
      <c r="AE55" s="100"/>
      <c r="AF55" s="100"/>
      <c r="AG55" s="104"/>
      <c r="AH55" s="104"/>
      <c r="AI55" s="104"/>
      <c r="AJ55" s="104"/>
      <c r="AK55" s="104"/>
      <c r="AL55" s="104"/>
      <c r="AM55" s="104"/>
      <c r="AN55" s="104"/>
      <c r="AO55" s="104"/>
      <c r="AP55" s="104"/>
      <c r="AQ55" s="104"/>
    </row>
    <row r="56" spans="1:43" ht="15.75" customHeight="1">
      <c r="A56" s="18" t="s">
        <v>43</v>
      </c>
      <c r="B56" s="15" t="s">
        <v>65</v>
      </c>
      <c r="C56" s="15">
        <v>1</v>
      </c>
      <c r="D56" s="67" t="s">
        <v>336</v>
      </c>
      <c r="E56" s="67">
        <v>377892</v>
      </c>
      <c r="F56" s="97">
        <v>45990</v>
      </c>
      <c r="G56" s="97">
        <v>45993</v>
      </c>
      <c r="H56" s="89" t="e">
        <f t="shared" ca="1" si="0"/>
        <v>#NAME?</v>
      </c>
      <c r="I56" s="96" t="s">
        <v>55</v>
      </c>
      <c r="J56" s="96">
        <v>364393</v>
      </c>
      <c r="K56" s="127">
        <v>45964</v>
      </c>
      <c r="L56" s="127">
        <v>45989</v>
      </c>
      <c r="M56" s="5">
        <f t="shared" si="2"/>
        <v>20</v>
      </c>
      <c r="N56" s="64"/>
      <c r="O56" s="64"/>
      <c r="P56" s="51"/>
      <c r="Q56" s="36"/>
      <c r="R56" s="5"/>
      <c r="S56" s="38"/>
      <c r="T56" s="38"/>
      <c r="U56" s="51"/>
      <c r="V56" s="36"/>
      <c r="W56" s="15"/>
      <c r="X56" s="102"/>
      <c r="Y56" s="102"/>
      <c r="Z56" s="102"/>
      <c r="AA56" s="102"/>
      <c r="AB56" s="103"/>
      <c r="AC56" s="103"/>
      <c r="AD56" s="103"/>
      <c r="AE56" s="100"/>
      <c r="AF56" s="100"/>
      <c r="AG56" s="104"/>
      <c r="AH56" s="104"/>
      <c r="AI56" s="104"/>
      <c r="AJ56" s="104"/>
      <c r="AK56" s="104"/>
      <c r="AL56" s="104"/>
      <c r="AM56" s="104"/>
      <c r="AN56" s="104"/>
      <c r="AO56" s="104"/>
      <c r="AP56" s="104"/>
      <c r="AQ56" s="104"/>
    </row>
    <row r="57" spans="1:43" ht="15.75" customHeight="1">
      <c r="A57" s="18" t="s">
        <v>43</v>
      </c>
      <c r="B57" s="15" t="s">
        <v>66</v>
      </c>
      <c r="C57" s="15">
        <v>1</v>
      </c>
      <c r="D57" s="96" t="s">
        <v>289</v>
      </c>
      <c r="E57" s="96">
        <v>366873</v>
      </c>
      <c r="F57" s="127">
        <v>45967</v>
      </c>
      <c r="G57" s="127">
        <v>45971</v>
      </c>
      <c r="H57" s="89" t="e">
        <f t="shared" ca="1" si="0"/>
        <v>#NAME?</v>
      </c>
      <c r="I57" s="96" t="s">
        <v>327</v>
      </c>
      <c r="J57" s="96">
        <v>364398</v>
      </c>
      <c r="K57" s="127">
        <v>45964</v>
      </c>
      <c r="L57" s="127">
        <v>46008</v>
      </c>
      <c r="M57" s="5">
        <f t="shared" si="2"/>
        <v>33</v>
      </c>
      <c r="N57" s="96" t="s">
        <v>126</v>
      </c>
      <c r="O57" s="96">
        <v>364392</v>
      </c>
      <c r="P57" s="127">
        <v>45964</v>
      </c>
      <c r="Q57" s="127">
        <v>45964</v>
      </c>
      <c r="R57" s="5"/>
      <c r="S57" s="96" t="s">
        <v>86</v>
      </c>
      <c r="T57" s="96">
        <v>391290</v>
      </c>
      <c r="U57" s="97">
        <v>46024</v>
      </c>
      <c r="V57" s="98">
        <v>46025</v>
      </c>
      <c r="W57" s="15"/>
      <c r="X57" s="102"/>
      <c r="Y57" s="102"/>
      <c r="Z57" s="102"/>
      <c r="AA57" s="102"/>
      <c r="AB57" s="103"/>
      <c r="AC57" s="103"/>
      <c r="AD57" s="103"/>
      <c r="AE57" s="100"/>
      <c r="AF57" s="100"/>
      <c r="AG57" s="104"/>
      <c r="AH57" s="104"/>
      <c r="AI57" s="104"/>
      <c r="AJ57" s="104"/>
      <c r="AK57" s="104"/>
      <c r="AL57" s="104"/>
      <c r="AM57" s="104"/>
      <c r="AN57" s="104"/>
      <c r="AO57" s="104"/>
      <c r="AP57" s="104"/>
      <c r="AQ57" s="104"/>
    </row>
    <row r="58" spans="1:43" ht="15.75" customHeight="1">
      <c r="A58" s="18" t="s">
        <v>218</v>
      </c>
      <c r="B58" s="16" t="s">
        <v>67</v>
      </c>
      <c r="C58" s="16">
        <v>1</v>
      </c>
      <c r="D58" s="131" t="s">
        <v>293</v>
      </c>
      <c r="E58" s="131">
        <v>366881</v>
      </c>
      <c r="F58" s="132">
        <v>45967</v>
      </c>
      <c r="G58" s="133">
        <v>45976</v>
      </c>
      <c r="H58" s="89" t="e">
        <f t="shared" ca="1" si="0"/>
        <v>#NAME?</v>
      </c>
      <c r="I58" s="131" t="s">
        <v>337</v>
      </c>
      <c r="J58" s="131">
        <v>332074</v>
      </c>
      <c r="K58" s="132">
        <v>45873</v>
      </c>
      <c r="L58" s="133">
        <v>45876</v>
      </c>
      <c r="M58" s="134">
        <f t="shared" si="2"/>
        <v>4</v>
      </c>
      <c r="N58" s="135" t="s">
        <v>266</v>
      </c>
      <c r="O58" s="135">
        <v>377642</v>
      </c>
      <c r="P58" s="136">
        <v>45990</v>
      </c>
      <c r="Q58" s="136">
        <v>45997</v>
      </c>
      <c r="R58" s="134"/>
      <c r="S58" s="137"/>
      <c r="T58" s="15"/>
      <c r="U58" s="15"/>
      <c r="V58" s="15"/>
      <c r="W58" s="15"/>
      <c r="X58" s="102"/>
      <c r="Y58" s="102"/>
      <c r="Z58" s="102"/>
      <c r="AA58" s="102"/>
      <c r="AB58" s="103"/>
      <c r="AC58" s="103"/>
      <c r="AD58" s="103"/>
      <c r="AE58" s="100"/>
      <c r="AF58" s="100"/>
      <c r="AG58" s="104"/>
      <c r="AH58" s="104"/>
      <c r="AI58" s="104"/>
      <c r="AJ58" s="104"/>
      <c r="AK58" s="104"/>
      <c r="AL58" s="104"/>
      <c r="AM58" s="104"/>
      <c r="AN58" s="104"/>
      <c r="AO58" s="104"/>
      <c r="AP58" s="104"/>
      <c r="AQ58" s="104"/>
    </row>
    <row r="59" spans="1:43" ht="15.75" customHeight="1">
      <c r="A59" s="18" t="s">
        <v>218</v>
      </c>
      <c r="B59" s="16" t="s">
        <v>67</v>
      </c>
      <c r="C59" s="16">
        <v>1</v>
      </c>
      <c r="D59" s="131" t="s">
        <v>338</v>
      </c>
      <c r="E59" s="131">
        <v>375514</v>
      </c>
      <c r="F59" s="132">
        <v>45985</v>
      </c>
      <c r="G59" s="133">
        <v>45989</v>
      </c>
      <c r="H59" s="89" t="e">
        <f t="shared" ca="1" si="0"/>
        <v>#NAME?</v>
      </c>
      <c r="I59" s="131" t="s">
        <v>339</v>
      </c>
      <c r="J59" s="131">
        <v>363267</v>
      </c>
      <c r="K59" s="132">
        <v>45962</v>
      </c>
      <c r="L59" s="133">
        <v>45968</v>
      </c>
      <c r="M59" s="134">
        <f t="shared" si="2"/>
        <v>5</v>
      </c>
      <c r="N59" s="138"/>
      <c r="O59" s="139"/>
      <c r="P59" s="140"/>
      <c r="Q59" s="141"/>
      <c r="R59" s="134"/>
      <c r="S59" s="137"/>
      <c r="T59" s="15"/>
      <c r="U59" s="15"/>
      <c r="V59" s="15"/>
      <c r="W59" s="15"/>
      <c r="X59" s="102"/>
      <c r="Y59" s="102"/>
      <c r="Z59" s="102"/>
      <c r="AA59" s="102"/>
      <c r="AB59" s="103"/>
      <c r="AC59" s="103"/>
      <c r="AD59" s="103"/>
      <c r="AE59" s="100"/>
      <c r="AF59" s="100"/>
      <c r="AG59" s="104"/>
      <c r="AH59" s="104"/>
      <c r="AI59" s="104"/>
      <c r="AJ59" s="104"/>
      <c r="AK59" s="104"/>
      <c r="AL59" s="104"/>
      <c r="AM59" s="104"/>
      <c r="AN59" s="104"/>
      <c r="AO59" s="104"/>
      <c r="AP59" s="104"/>
      <c r="AQ59" s="104"/>
    </row>
    <row r="60" spans="1:43" ht="15.75" customHeight="1">
      <c r="A60" s="18" t="s">
        <v>218</v>
      </c>
      <c r="B60" s="19" t="s">
        <v>68</v>
      </c>
      <c r="C60" s="15">
        <v>1</v>
      </c>
      <c r="D60" s="131" t="s">
        <v>339</v>
      </c>
      <c r="E60" s="131">
        <v>363267</v>
      </c>
      <c r="F60" s="132">
        <v>45962</v>
      </c>
      <c r="G60" s="133">
        <v>45979</v>
      </c>
      <c r="H60" s="89" t="e">
        <f t="shared" ca="1" si="0"/>
        <v>#NAME?</v>
      </c>
      <c r="I60" s="142" t="s">
        <v>340</v>
      </c>
      <c r="J60" s="131">
        <v>363268</v>
      </c>
      <c r="K60" s="132">
        <v>45962</v>
      </c>
      <c r="L60" s="133">
        <v>45968</v>
      </c>
      <c r="M60" s="134">
        <f t="shared" si="2"/>
        <v>5</v>
      </c>
      <c r="N60" s="131" t="s">
        <v>152</v>
      </c>
      <c r="O60" s="131">
        <v>366882</v>
      </c>
      <c r="P60" s="132">
        <v>45967</v>
      </c>
      <c r="Q60" s="133">
        <v>46022</v>
      </c>
      <c r="R60" s="134"/>
      <c r="S60" s="137"/>
      <c r="T60" s="15"/>
      <c r="U60" s="15"/>
      <c r="V60" s="52"/>
      <c r="W60" s="15"/>
      <c r="X60" s="102"/>
      <c r="Y60" s="102"/>
      <c r="Z60" s="102"/>
      <c r="AA60" s="102"/>
      <c r="AB60" s="103"/>
      <c r="AC60" s="103"/>
      <c r="AD60" s="103"/>
      <c r="AE60" s="100"/>
      <c r="AF60" s="100"/>
      <c r="AG60" s="104"/>
      <c r="AH60" s="104"/>
      <c r="AI60" s="104"/>
      <c r="AJ60" s="104"/>
      <c r="AK60" s="104"/>
      <c r="AL60" s="104"/>
      <c r="AM60" s="104"/>
      <c r="AN60" s="104"/>
      <c r="AO60" s="104"/>
      <c r="AP60" s="104"/>
      <c r="AQ60" s="104"/>
    </row>
    <row r="61" spans="1:43" ht="15.75" customHeight="1">
      <c r="A61" s="18" t="s">
        <v>218</v>
      </c>
      <c r="B61" s="53" t="s">
        <v>69</v>
      </c>
      <c r="C61" s="16">
        <v>1</v>
      </c>
      <c r="D61" s="142" t="s">
        <v>340</v>
      </c>
      <c r="E61" s="131">
        <v>363268</v>
      </c>
      <c r="F61" s="132">
        <v>45962</v>
      </c>
      <c r="G61" s="133">
        <v>46004</v>
      </c>
      <c r="H61" s="89" t="e">
        <f t="shared" ca="1" si="0"/>
        <v>#NAME?</v>
      </c>
      <c r="I61" s="131" t="s">
        <v>337</v>
      </c>
      <c r="J61" s="131">
        <v>332074</v>
      </c>
      <c r="K61" s="132">
        <v>45873</v>
      </c>
      <c r="L61" s="133">
        <v>45904</v>
      </c>
      <c r="M61" s="134">
        <f t="shared" si="2"/>
        <v>24</v>
      </c>
      <c r="N61" s="143"/>
      <c r="O61" s="143"/>
      <c r="P61" s="144"/>
      <c r="Q61" s="144"/>
      <c r="R61" s="134"/>
      <c r="S61" s="137"/>
      <c r="T61" s="15"/>
      <c r="U61" s="15"/>
      <c r="V61" s="15"/>
      <c r="W61" s="15"/>
      <c r="X61" s="102"/>
      <c r="Y61" s="102"/>
      <c r="Z61" s="102"/>
      <c r="AA61" s="102"/>
      <c r="AB61" s="103"/>
      <c r="AC61" s="103"/>
      <c r="AD61" s="103"/>
      <c r="AE61" s="100"/>
      <c r="AF61" s="100"/>
      <c r="AG61" s="104"/>
      <c r="AH61" s="104"/>
      <c r="AI61" s="104"/>
      <c r="AJ61" s="104"/>
      <c r="AK61" s="104"/>
      <c r="AL61" s="104"/>
      <c r="AM61" s="104"/>
      <c r="AN61" s="104"/>
      <c r="AO61" s="104"/>
      <c r="AP61" s="104"/>
      <c r="AQ61" s="104"/>
    </row>
    <row r="62" spans="1:43" ht="15.75" customHeight="1">
      <c r="A62" s="18" t="s">
        <v>218</v>
      </c>
      <c r="B62" s="53" t="s">
        <v>69</v>
      </c>
      <c r="C62" s="16">
        <v>1</v>
      </c>
      <c r="D62" s="142" t="s">
        <v>131</v>
      </c>
      <c r="E62" s="131">
        <v>363260</v>
      </c>
      <c r="F62" s="132">
        <v>45962</v>
      </c>
      <c r="G62" s="133">
        <v>45968</v>
      </c>
      <c r="H62" s="89" t="e">
        <f t="shared" ca="1" si="0"/>
        <v>#NAME?</v>
      </c>
      <c r="I62" s="138" t="s">
        <v>214</v>
      </c>
      <c r="J62" s="145">
        <v>272688</v>
      </c>
      <c r="K62" s="146">
        <v>45904</v>
      </c>
      <c r="L62" s="133">
        <v>46011</v>
      </c>
      <c r="M62" s="134">
        <f t="shared" si="2"/>
        <v>77</v>
      </c>
      <c r="N62" s="137"/>
      <c r="O62" s="137"/>
      <c r="P62" s="144"/>
      <c r="Q62" s="137"/>
      <c r="R62" s="137"/>
      <c r="S62" s="137"/>
      <c r="T62" s="15"/>
      <c r="U62" s="15"/>
      <c r="V62" s="15"/>
      <c r="W62" s="15"/>
      <c r="X62" s="102"/>
      <c r="Y62" s="102"/>
      <c r="Z62" s="102"/>
      <c r="AA62" s="102"/>
      <c r="AB62" s="103"/>
      <c r="AC62" s="103"/>
      <c r="AD62" s="103"/>
      <c r="AE62" s="100"/>
      <c r="AF62" s="100"/>
      <c r="AG62" s="104"/>
      <c r="AH62" s="104"/>
      <c r="AI62" s="104"/>
      <c r="AJ62" s="104"/>
      <c r="AK62" s="104"/>
      <c r="AL62" s="104"/>
      <c r="AM62" s="104"/>
      <c r="AN62" s="104"/>
      <c r="AO62" s="104"/>
      <c r="AP62" s="104"/>
      <c r="AQ62" s="104"/>
    </row>
    <row r="63" spans="1:43" ht="15.75" customHeight="1">
      <c r="A63" s="18" t="s">
        <v>218</v>
      </c>
      <c r="B63" s="15" t="s">
        <v>71</v>
      </c>
      <c r="C63" s="15">
        <v>1</v>
      </c>
      <c r="D63" s="131" t="s">
        <v>152</v>
      </c>
      <c r="E63" s="131">
        <v>366882</v>
      </c>
      <c r="F63" s="132">
        <v>45967</v>
      </c>
      <c r="G63" s="133">
        <v>45979</v>
      </c>
      <c r="H63" s="89" t="e">
        <f t="shared" ca="1" si="0"/>
        <v>#NAME?</v>
      </c>
      <c r="I63" s="131" t="s">
        <v>341</v>
      </c>
      <c r="J63" s="131">
        <v>363250</v>
      </c>
      <c r="K63" s="132">
        <v>45962</v>
      </c>
      <c r="L63" s="133">
        <v>46018</v>
      </c>
      <c r="M63" s="134">
        <f t="shared" si="2"/>
        <v>40</v>
      </c>
      <c r="N63" s="137"/>
      <c r="O63" s="137"/>
      <c r="P63" s="137"/>
      <c r="Q63" s="137"/>
      <c r="R63" s="134"/>
      <c r="S63" s="137"/>
      <c r="T63" s="15"/>
      <c r="U63" s="15"/>
      <c r="V63" s="15"/>
      <c r="W63" s="15"/>
      <c r="X63" s="102"/>
      <c r="Y63" s="102"/>
      <c r="Z63" s="102"/>
      <c r="AA63" s="102"/>
      <c r="AB63" s="103"/>
      <c r="AC63" s="103"/>
      <c r="AD63" s="103"/>
      <c r="AE63" s="100"/>
      <c r="AF63" s="100"/>
      <c r="AG63" s="104"/>
      <c r="AH63" s="104"/>
      <c r="AI63" s="104"/>
      <c r="AJ63" s="104"/>
      <c r="AK63" s="104"/>
      <c r="AL63" s="104"/>
      <c r="AM63" s="104"/>
      <c r="AN63" s="104"/>
      <c r="AO63" s="104"/>
      <c r="AP63" s="104"/>
      <c r="AQ63" s="104"/>
    </row>
    <row r="64" spans="1:43" ht="15.75" customHeight="1">
      <c r="A64" s="18" t="s">
        <v>218</v>
      </c>
      <c r="B64" s="16" t="s">
        <v>72</v>
      </c>
      <c r="C64" s="16">
        <v>1</v>
      </c>
      <c r="D64" s="131" t="s">
        <v>53</v>
      </c>
      <c r="E64" s="131">
        <v>363242</v>
      </c>
      <c r="F64" s="132">
        <v>45962</v>
      </c>
      <c r="G64" s="133">
        <v>45979</v>
      </c>
      <c r="H64" s="89" t="e">
        <f t="shared" ca="1" si="0"/>
        <v>#NAME?</v>
      </c>
      <c r="I64" s="137" t="s">
        <v>75</v>
      </c>
      <c r="J64" s="137">
        <v>332072</v>
      </c>
      <c r="K64" s="132">
        <v>45873</v>
      </c>
      <c r="L64" s="133">
        <v>45876</v>
      </c>
      <c r="M64" s="134">
        <f t="shared" si="2"/>
        <v>4</v>
      </c>
      <c r="N64" s="131" t="s">
        <v>342</v>
      </c>
      <c r="O64" s="131">
        <v>363241</v>
      </c>
      <c r="P64" s="132">
        <v>45962</v>
      </c>
      <c r="Q64" s="133">
        <v>46021</v>
      </c>
      <c r="R64" s="134"/>
      <c r="S64" s="143"/>
      <c r="T64" s="70"/>
      <c r="U64" s="72"/>
      <c r="V64" s="72"/>
      <c r="W64" s="15"/>
      <c r="X64" s="102"/>
      <c r="Y64" s="102"/>
      <c r="Z64" s="102"/>
      <c r="AA64" s="102"/>
      <c r="AB64" s="103"/>
      <c r="AC64" s="103"/>
      <c r="AD64" s="103"/>
      <c r="AE64" s="100"/>
      <c r="AF64" s="100"/>
      <c r="AG64" s="104"/>
      <c r="AH64" s="104"/>
      <c r="AI64" s="104"/>
      <c r="AJ64" s="104"/>
      <c r="AK64" s="104"/>
      <c r="AL64" s="104"/>
      <c r="AM64" s="104"/>
      <c r="AN64" s="104"/>
      <c r="AO64" s="104"/>
      <c r="AP64" s="104"/>
      <c r="AQ64" s="104"/>
    </row>
    <row r="65" spans="1:43" ht="15.75" customHeight="1">
      <c r="A65" s="18" t="s">
        <v>218</v>
      </c>
      <c r="B65" s="16" t="s">
        <v>72</v>
      </c>
      <c r="C65" s="16">
        <v>1</v>
      </c>
      <c r="D65" s="131" t="s">
        <v>219</v>
      </c>
      <c r="E65" s="131">
        <v>366893</v>
      </c>
      <c r="F65" s="132">
        <v>45967</v>
      </c>
      <c r="G65" s="133">
        <v>45973</v>
      </c>
      <c r="H65" s="89" t="e">
        <f t="shared" ca="1" si="0"/>
        <v>#NAME?</v>
      </c>
      <c r="I65" s="135" t="s">
        <v>343</v>
      </c>
      <c r="J65" s="135">
        <v>330594</v>
      </c>
      <c r="K65" s="136">
        <v>45871</v>
      </c>
      <c r="L65" s="147">
        <v>45873</v>
      </c>
      <c r="M65" s="134">
        <f t="shared" si="2"/>
        <v>1</v>
      </c>
      <c r="N65" s="143"/>
      <c r="O65" s="143"/>
      <c r="P65" s="148"/>
      <c r="Q65" s="148"/>
      <c r="R65" s="134"/>
      <c r="S65" s="143"/>
      <c r="T65" s="70"/>
      <c r="U65" s="72"/>
      <c r="V65" s="72"/>
      <c r="W65" s="15"/>
      <c r="X65" s="102"/>
      <c r="Y65" s="102"/>
      <c r="Z65" s="102"/>
      <c r="AA65" s="102"/>
      <c r="AB65" s="103"/>
      <c r="AC65" s="103"/>
      <c r="AD65" s="103"/>
      <c r="AE65" s="100"/>
      <c r="AF65" s="100"/>
      <c r="AG65" s="104"/>
      <c r="AH65" s="104"/>
      <c r="AI65" s="104"/>
      <c r="AJ65" s="104"/>
      <c r="AK65" s="104"/>
      <c r="AL65" s="104"/>
      <c r="AM65" s="104"/>
      <c r="AN65" s="104"/>
      <c r="AO65" s="104"/>
      <c r="AP65" s="104"/>
      <c r="AQ65" s="104"/>
    </row>
    <row r="66" spans="1:43" ht="15.75" customHeight="1">
      <c r="A66" s="18" t="s">
        <v>218</v>
      </c>
      <c r="B66" s="15" t="s">
        <v>74</v>
      </c>
      <c r="C66" s="15">
        <v>1</v>
      </c>
      <c r="D66" s="131" t="s">
        <v>168</v>
      </c>
      <c r="E66" s="131">
        <v>271799</v>
      </c>
      <c r="F66" s="132">
        <v>45968</v>
      </c>
      <c r="G66" s="133">
        <v>45972</v>
      </c>
      <c r="H66" s="89" t="e">
        <f t="shared" ca="1" si="0"/>
        <v>#NAME?</v>
      </c>
      <c r="I66" s="131" t="s">
        <v>53</v>
      </c>
      <c r="J66" s="131">
        <v>363242</v>
      </c>
      <c r="K66" s="132">
        <v>45962</v>
      </c>
      <c r="L66" s="133">
        <v>45968</v>
      </c>
      <c r="M66" s="134">
        <f t="shared" si="2"/>
        <v>5</v>
      </c>
      <c r="N66" s="137"/>
      <c r="O66" s="137"/>
      <c r="P66" s="144"/>
      <c r="Q66" s="149"/>
      <c r="R66" s="134"/>
      <c r="S66" s="143"/>
      <c r="T66" s="70"/>
      <c r="U66" s="72"/>
      <c r="V66" s="15"/>
      <c r="W66" s="15"/>
      <c r="X66" s="102"/>
      <c r="Y66" s="102"/>
      <c r="Z66" s="102"/>
      <c r="AA66" s="102"/>
      <c r="AB66" s="103"/>
      <c r="AC66" s="103"/>
      <c r="AD66" s="103"/>
      <c r="AE66" s="100"/>
      <c r="AF66" s="100"/>
      <c r="AG66" s="104"/>
      <c r="AH66" s="104"/>
      <c r="AI66" s="104"/>
      <c r="AJ66" s="104"/>
      <c r="AK66" s="104"/>
      <c r="AL66" s="104"/>
      <c r="AM66" s="104"/>
      <c r="AN66" s="104"/>
      <c r="AO66" s="104"/>
      <c r="AP66" s="104"/>
      <c r="AQ66" s="104"/>
    </row>
    <row r="67" spans="1:43" ht="15.75" customHeight="1">
      <c r="A67" s="18" t="s">
        <v>218</v>
      </c>
      <c r="B67" s="15" t="s">
        <v>76</v>
      </c>
      <c r="C67" s="15">
        <v>1</v>
      </c>
      <c r="D67" s="131" t="s">
        <v>344</v>
      </c>
      <c r="E67" s="131">
        <v>363335</v>
      </c>
      <c r="F67" s="132">
        <v>45964</v>
      </c>
      <c r="G67" s="133">
        <v>45968</v>
      </c>
      <c r="H67" s="89" t="e">
        <f t="shared" ca="1" si="0"/>
        <v>#NAME?</v>
      </c>
      <c r="I67" s="138" t="s">
        <v>214</v>
      </c>
      <c r="J67" s="145">
        <v>272688</v>
      </c>
      <c r="K67" s="146">
        <v>45904</v>
      </c>
      <c r="L67" s="133">
        <v>45925</v>
      </c>
      <c r="M67" s="134">
        <f t="shared" si="2"/>
        <v>16</v>
      </c>
      <c r="N67" s="131" t="s">
        <v>342</v>
      </c>
      <c r="O67" s="131">
        <v>363241</v>
      </c>
      <c r="P67" s="132">
        <v>45962</v>
      </c>
      <c r="Q67" s="133">
        <v>45979</v>
      </c>
      <c r="R67" s="134"/>
      <c r="S67" s="137"/>
      <c r="T67" s="15"/>
      <c r="U67" s="15"/>
      <c r="V67" s="72"/>
      <c r="W67" s="15"/>
      <c r="X67" s="102"/>
      <c r="Y67" s="102"/>
      <c r="Z67" s="102"/>
      <c r="AA67" s="102"/>
      <c r="AB67" s="103"/>
      <c r="AC67" s="103"/>
      <c r="AD67" s="103"/>
      <c r="AE67" s="100"/>
      <c r="AF67" s="100"/>
      <c r="AG67" s="104"/>
      <c r="AH67" s="104"/>
      <c r="AI67" s="104"/>
      <c r="AJ67" s="104"/>
      <c r="AK67" s="104"/>
      <c r="AL67" s="104"/>
      <c r="AM67" s="104"/>
      <c r="AN67" s="104"/>
      <c r="AO67" s="104"/>
      <c r="AP67" s="104"/>
      <c r="AQ67" s="104"/>
    </row>
    <row r="68" spans="1:43" ht="15.75" customHeight="1">
      <c r="A68" s="18" t="s">
        <v>218</v>
      </c>
      <c r="B68" s="53" t="s">
        <v>77</v>
      </c>
      <c r="C68" s="16">
        <v>1</v>
      </c>
      <c r="D68" s="131" t="s">
        <v>337</v>
      </c>
      <c r="E68" s="131">
        <v>332074</v>
      </c>
      <c r="F68" s="132">
        <v>45873</v>
      </c>
      <c r="G68" s="133">
        <v>45972</v>
      </c>
      <c r="H68" s="89" t="e">
        <f t="shared" ca="1" si="0"/>
        <v>#NAME?</v>
      </c>
      <c r="I68" s="138" t="s">
        <v>86</v>
      </c>
      <c r="J68" s="145">
        <v>370603</v>
      </c>
      <c r="K68" s="146">
        <v>45974</v>
      </c>
      <c r="L68" s="133">
        <v>46003</v>
      </c>
      <c r="M68" s="134">
        <f t="shared" si="2"/>
        <v>22</v>
      </c>
      <c r="N68" s="143"/>
      <c r="O68" s="143"/>
      <c r="P68" s="148"/>
      <c r="Q68" s="148"/>
      <c r="R68" s="134"/>
      <c r="S68" s="137"/>
      <c r="T68" s="15"/>
      <c r="U68" s="15"/>
      <c r="V68" s="15"/>
      <c r="W68" s="15"/>
      <c r="X68" s="102"/>
      <c r="Y68" s="102"/>
      <c r="Z68" s="102"/>
      <c r="AA68" s="102"/>
      <c r="AB68" s="103"/>
      <c r="AC68" s="103"/>
      <c r="AD68" s="103"/>
      <c r="AE68" s="100"/>
      <c r="AF68" s="100"/>
      <c r="AG68" s="104"/>
      <c r="AH68" s="104"/>
      <c r="AI68" s="104"/>
      <c r="AJ68" s="104"/>
      <c r="AK68" s="104"/>
      <c r="AL68" s="104"/>
      <c r="AM68" s="104"/>
      <c r="AN68" s="104"/>
      <c r="AO68" s="104"/>
      <c r="AP68" s="104"/>
      <c r="AQ68" s="104"/>
    </row>
    <row r="69" spans="1:43" ht="15.75" customHeight="1">
      <c r="A69" s="18" t="s">
        <v>218</v>
      </c>
      <c r="B69" s="53" t="s">
        <v>77</v>
      </c>
      <c r="C69" s="16">
        <v>1</v>
      </c>
      <c r="D69" s="142" t="s">
        <v>78</v>
      </c>
      <c r="E69" s="131">
        <v>238779</v>
      </c>
      <c r="F69" s="132">
        <v>45678</v>
      </c>
      <c r="G69" s="133">
        <v>45828</v>
      </c>
      <c r="H69" s="89" t="e">
        <f t="shared" ca="1" si="0"/>
        <v>#NAME?</v>
      </c>
      <c r="I69" s="138" t="s">
        <v>345</v>
      </c>
      <c r="J69" s="145">
        <v>259721</v>
      </c>
      <c r="K69" s="146">
        <v>45734</v>
      </c>
      <c r="L69" s="133">
        <v>46018</v>
      </c>
      <c r="M69" s="134">
        <f t="shared" si="2"/>
        <v>204</v>
      </c>
      <c r="N69" s="137"/>
      <c r="O69" s="137"/>
      <c r="P69" s="144"/>
      <c r="Q69" s="144"/>
      <c r="R69" s="134"/>
      <c r="S69" s="137"/>
      <c r="T69" s="15"/>
      <c r="U69" s="15"/>
      <c r="V69" s="15"/>
      <c r="W69" s="15"/>
      <c r="X69" s="102"/>
      <c r="Y69" s="102"/>
      <c r="Z69" s="102"/>
      <c r="AA69" s="102"/>
      <c r="AB69" s="103"/>
      <c r="AC69" s="103"/>
      <c r="AD69" s="103"/>
      <c r="AE69" s="100"/>
      <c r="AF69" s="100"/>
      <c r="AG69" s="104"/>
      <c r="AH69" s="104"/>
      <c r="AI69" s="104"/>
      <c r="AJ69" s="104"/>
      <c r="AK69" s="104"/>
      <c r="AL69" s="104"/>
      <c r="AM69" s="104"/>
      <c r="AN69" s="104"/>
      <c r="AO69" s="104"/>
      <c r="AP69" s="104"/>
      <c r="AQ69" s="104"/>
    </row>
    <row r="70" spans="1:43" ht="15.75" customHeight="1">
      <c r="A70" s="18" t="s">
        <v>218</v>
      </c>
      <c r="B70" s="53" t="s">
        <v>77</v>
      </c>
      <c r="C70" s="16">
        <v>1</v>
      </c>
      <c r="D70" s="131" t="s">
        <v>346</v>
      </c>
      <c r="E70" s="131">
        <v>380718</v>
      </c>
      <c r="F70" s="132">
        <v>45995</v>
      </c>
      <c r="G70" s="133">
        <v>46016</v>
      </c>
      <c r="H70" s="89" t="e">
        <f t="shared" ca="1" si="0"/>
        <v>#NAME?</v>
      </c>
      <c r="I70" s="138" t="s">
        <v>60</v>
      </c>
      <c r="J70" s="145">
        <v>259691</v>
      </c>
      <c r="K70" s="146">
        <v>45734</v>
      </c>
      <c r="L70" s="133">
        <v>46020</v>
      </c>
      <c r="M70" s="134">
        <f t="shared" si="2"/>
        <v>205</v>
      </c>
      <c r="N70" s="137"/>
      <c r="O70" s="137"/>
      <c r="P70" s="144"/>
      <c r="Q70" s="144"/>
      <c r="R70" s="134"/>
      <c r="S70" s="137"/>
      <c r="T70" s="15"/>
      <c r="U70" s="15"/>
      <c r="V70" s="15"/>
      <c r="W70" s="15"/>
      <c r="X70" s="102"/>
      <c r="Y70" s="102"/>
      <c r="Z70" s="102"/>
      <c r="AA70" s="102"/>
      <c r="AB70" s="103"/>
      <c r="AC70" s="103"/>
      <c r="AD70" s="103"/>
      <c r="AE70" s="100"/>
      <c r="AF70" s="100"/>
      <c r="AG70" s="104"/>
      <c r="AH70" s="104"/>
      <c r="AI70" s="104"/>
      <c r="AJ70" s="104"/>
      <c r="AK70" s="104"/>
      <c r="AL70" s="104"/>
      <c r="AM70" s="104"/>
      <c r="AN70" s="104"/>
      <c r="AO70" s="104"/>
      <c r="AP70" s="104"/>
      <c r="AQ70" s="104"/>
    </row>
    <row r="71" spans="1:43" ht="15.75" customHeight="1">
      <c r="A71" s="18" t="s">
        <v>218</v>
      </c>
      <c r="B71" s="15" t="s">
        <v>79</v>
      </c>
      <c r="C71" s="15">
        <v>1</v>
      </c>
      <c r="D71" s="131" t="s">
        <v>347</v>
      </c>
      <c r="E71" s="131">
        <v>363367</v>
      </c>
      <c r="F71" s="132">
        <v>45962</v>
      </c>
      <c r="G71" s="133">
        <v>45968</v>
      </c>
      <c r="H71" s="89" t="e">
        <f t="shared" ca="1" si="0"/>
        <v>#NAME?</v>
      </c>
      <c r="I71" s="131" t="s">
        <v>293</v>
      </c>
      <c r="J71" s="131">
        <v>163324</v>
      </c>
      <c r="K71" s="132">
        <v>45967</v>
      </c>
      <c r="L71" s="133">
        <v>45974</v>
      </c>
      <c r="M71" s="134">
        <f t="shared" si="2"/>
        <v>6</v>
      </c>
      <c r="N71" s="143"/>
      <c r="O71" s="143"/>
      <c r="P71" s="148"/>
      <c r="Q71" s="148"/>
      <c r="R71" s="134"/>
      <c r="S71" s="143"/>
      <c r="T71" s="70"/>
      <c r="U71" s="72"/>
      <c r="V71" s="33"/>
      <c r="W71" s="5"/>
      <c r="X71" s="102"/>
      <c r="Y71" s="102"/>
      <c r="Z71" s="102"/>
      <c r="AA71" s="102"/>
      <c r="AB71" s="103"/>
      <c r="AC71" s="103"/>
      <c r="AD71" s="103"/>
      <c r="AE71" s="100"/>
      <c r="AF71" s="100"/>
      <c r="AG71" s="104"/>
      <c r="AH71" s="104"/>
      <c r="AI71" s="104"/>
      <c r="AJ71" s="104"/>
      <c r="AK71" s="104"/>
      <c r="AL71" s="104"/>
      <c r="AM71" s="104"/>
      <c r="AN71" s="104"/>
      <c r="AO71" s="104"/>
      <c r="AP71" s="104"/>
      <c r="AQ71" s="104"/>
    </row>
    <row r="72" spans="1:43" ht="15.75" customHeight="1">
      <c r="A72" s="18" t="s">
        <v>218</v>
      </c>
      <c r="B72" s="53" t="s">
        <v>80</v>
      </c>
      <c r="C72" s="16">
        <v>1</v>
      </c>
      <c r="D72" s="131" t="s">
        <v>348</v>
      </c>
      <c r="E72" s="131">
        <v>363384</v>
      </c>
      <c r="F72" s="132">
        <v>45962</v>
      </c>
      <c r="G72" s="133">
        <v>45968</v>
      </c>
      <c r="H72" s="89" t="e">
        <f t="shared" ca="1" si="0"/>
        <v>#NAME?</v>
      </c>
      <c r="I72" s="137" t="s">
        <v>349</v>
      </c>
      <c r="J72" s="137">
        <v>363362</v>
      </c>
      <c r="K72" s="149">
        <v>45668</v>
      </c>
      <c r="L72" s="144">
        <v>45968</v>
      </c>
      <c r="M72" s="134">
        <f t="shared" si="2"/>
        <v>215</v>
      </c>
      <c r="N72" s="137"/>
      <c r="O72" s="137"/>
      <c r="P72" s="144"/>
      <c r="Q72" s="144"/>
      <c r="R72" s="134"/>
      <c r="S72" s="150"/>
      <c r="T72" s="34"/>
      <c r="U72" s="51"/>
      <c r="V72" s="36"/>
      <c r="W72" s="15"/>
      <c r="X72" s="102"/>
      <c r="Y72" s="102"/>
      <c r="Z72" s="102"/>
      <c r="AA72" s="102"/>
      <c r="AB72" s="103"/>
      <c r="AC72" s="103"/>
      <c r="AD72" s="103"/>
      <c r="AE72" s="100"/>
      <c r="AF72" s="100"/>
      <c r="AG72" s="104"/>
      <c r="AH72" s="104"/>
      <c r="AI72" s="104"/>
      <c r="AJ72" s="104"/>
      <c r="AK72" s="104"/>
      <c r="AL72" s="104"/>
      <c r="AM72" s="104"/>
      <c r="AN72" s="104"/>
      <c r="AO72" s="104"/>
      <c r="AP72" s="104"/>
      <c r="AQ72" s="104"/>
    </row>
    <row r="73" spans="1:43" ht="15.75" customHeight="1">
      <c r="A73" s="18" t="s">
        <v>218</v>
      </c>
      <c r="B73" s="53" t="s">
        <v>80</v>
      </c>
      <c r="C73" s="16">
        <v>1</v>
      </c>
      <c r="D73" s="131" t="s">
        <v>350</v>
      </c>
      <c r="E73" s="131">
        <v>273316</v>
      </c>
      <c r="F73" s="132">
        <v>45757</v>
      </c>
      <c r="G73" s="133">
        <v>45975</v>
      </c>
      <c r="H73" s="89" t="e">
        <f t="shared" ca="1" si="0"/>
        <v>#NAME?</v>
      </c>
      <c r="I73" s="137"/>
      <c r="J73" s="137"/>
      <c r="K73" s="144"/>
      <c r="L73" s="144"/>
      <c r="M73" s="134">
        <f t="shared" si="2"/>
        <v>0</v>
      </c>
      <c r="N73" s="137"/>
      <c r="O73" s="137"/>
      <c r="P73" s="137"/>
      <c r="Q73" s="137"/>
      <c r="R73" s="134"/>
      <c r="S73" s="137"/>
      <c r="T73" s="15"/>
      <c r="U73" s="15"/>
      <c r="V73" s="15"/>
      <c r="W73" s="15"/>
      <c r="X73" s="102"/>
      <c r="Y73" s="102"/>
      <c r="Z73" s="102"/>
      <c r="AA73" s="102"/>
      <c r="AB73" s="103"/>
      <c r="AC73" s="103"/>
      <c r="AD73" s="103"/>
      <c r="AE73" s="100"/>
      <c r="AF73" s="100"/>
      <c r="AG73" s="104"/>
      <c r="AH73" s="104"/>
      <c r="AI73" s="104"/>
      <c r="AJ73" s="104"/>
      <c r="AK73" s="104"/>
      <c r="AL73" s="104"/>
      <c r="AM73" s="104"/>
      <c r="AN73" s="104"/>
      <c r="AO73" s="104"/>
      <c r="AP73" s="104"/>
      <c r="AQ73" s="104"/>
    </row>
    <row r="74" spans="1:43" ht="15.75" customHeight="1">
      <c r="A74" s="18" t="s">
        <v>218</v>
      </c>
      <c r="B74" s="53" t="s">
        <v>81</v>
      </c>
      <c r="C74" s="16">
        <v>1</v>
      </c>
      <c r="D74" s="131" t="s">
        <v>73</v>
      </c>
      <c r="E74" s="131">
        <v>365401</v>
      </c>
      <c r="F74" s="132">
        <v>45965</v>
      </c>
      <c r="G74" s="133">
        <v>45996</v>
      </c>
      <c r="H74" s="89" t="e">
        <f t="shared" ca="1" si="0"/>
        <v>#NAME?</v>
      </c>
      <c r="I74" s="137" t="s">
        <v>344</v>
      </c>
      <c r="J74" s="137">
        <v>363355</v>
      </c>
      <c r="K74" s="149">
        <v>45668</v>
      </c>
      <c r="L74" s="144">
        <v>45994</v>
      </c>
      <c r="M74" s="134">
        <f t="shared" si="2"/>
        <v>233</v>
      </c>
      <c r="N74" s="137"/>
      <c r="O74" s="137"/>
      <c r="P74" s="137"/>
      <c r="Q74" s="144"/>
      <c r="R74" s="134"/>
      <c r="S74" s="137"/>
      <c r="T74" s="15"/>
      <c r="U74" s="15"/>
      <c r="V74" s="15"/>
      <c r="W74" s="15"/>
      <c r="X74" s="102"/>
      <c r="Y74" s="102"/>
      <c r="Z74" s="102"/>
      <c r="AA74" s="102"/>
      <c r="AB74" s="103"/>
      <c r="AC74" s="103"/>
      <c r="AD74" s="103"/>
      <c r="AE74" s="100"/>
      <c r="AF74" s="100"/>
      <c r="AG74" s="104"/>
      <c r="AH74" s="104"/>
      <c r="AI74" s="104"/>
      <c r="AJ74" s="104"/>
      <c r="AK74" s="104"/>
      <c r="AL74" s="104"/>
      <c r="AM74" s="104"/>
      <c r="AN74" s="104"/>
      <c r="AO74" s="104"/>
      <c r="AP74" s="104"/>
      <c r="AQ74" s="104"/>
    </row>
    <row r="75" spans="1:43" ht="15.75" customHeight="1">
      <c r="A75" s="18" t="s">
        <v>218</v>
      </c>
      <c r="B75" s="53" t="s">
        <v>81</v>
      </c>
      <c r="C75" s="16">
        <v>1</v>
      </c>
      <c r="D75" s="131" t="s">
        <v>351</v>
      </c>
      <c r="E75" s="131">
        <v>370577</v>
      </c>
      <c r="F75" s="132">
        <v>45974</v>
      </c>
      <c r="G75" s="133">
        <v>45975</v>
      </c>
      <c r="H75" s="89" t="e">
        <f t="shared" ca="1" si="0"/>
        <v>#NAME?</v>
      </c>
      <c r="I75" s="131" t="s">
        <v>337</v>
      </c>
      <c r="J75" s="131">
        <v>332074</v>
      </c>
      <c r="K75" s="132">
        <v>45873</v>
      </c>
      <c r="L75" s="144">
        <v>45986</v>
      </c>
      <c r="M75" s="134">
        <f t="shared" si="2"/>
        <v>82</v>
      </c>
      <c r="N75" s="137"/>
      <c r="O75" s="137"/>
      <c r="P75" s="144"/>
      <c r="Q75" s="144"/>
      <c r="R75" s="134"/>
      <c r="S75" s="137"/>
      <c r="T75" s="15"/>
      <c r="U75" s="15"/>
      <c r="V75" s="15"/>
      <c r="W75" s="15"/>
      <c r="X75" s="102"/>
      <c r="Y75" s="102"/>
      <c r="Z75" s="102"/>
      <c r="AA75" s="102"/>
      <c r="AB75" s="103"/>
      <c r="AC75" s="103"/>
      <c r="AD75" s="103"/>
      <c r="AE75" s="100"/>
      <c r="AF75" s="100"/>
      <c r="AG75" s="104"/>
      <c r="AH75" s="104"/>
      <c r="AI75" s="104"/>
      <c r="AJ75" s="104"/>
      <c r="AK75" s="104"/>
      <c r="AL75" s="104"/>
      <c r="AM75" s="104"/>
      <c r="AN75" s="104"/>
      <c r="AO75" s="104"/>
      <c r="AP75" s="104"/>
      <c r="AQ75" s="104"/>
    </row>
    <row r="76" spans="1:43" ht="15.75" customHeight="1">
      <c r="A76" s="18" t="s">
        <v>218</v>
      </c>
      <c r="B76" s="16" t="s">
        <v>82</v>
      </c>
      <c r="C76" s="16">
        <v>1</v>
      </c>
      <c r="D76" s="131" t="s">
        <v>352</v>
      </c>
      <c r="E76" s="131">
        <v>363239</v>
      </c>
      <c r="F76" s="132">
        <v>45962</v>
      </c>
      <c r="G76" s="133">
        <v>45968</v>
      </c>
      <c r="H76" s="89" t="e">
        <f t="shared" ca="1" si="0"/>
        <v>#NAME?</v>
      </c>
      <c r="I76" s="131" t="s">
        <v>341</v>
      </c>
      <c r="J76" s="131">
        <v>363250</v>
      </c>
      <c r="K76" s="132">
        <v>45962</v>
      </c>
      <c r="L76" s="133">
        <v>45968</v>
      </c>
      <c r="M76" s="134">
        <f t="shared" si="2"/>
        <v>5</v>
      </c>
      <c r="N76" s="137"/>
      <c r="O76" s="137"/>
      <c r="P76" s="144"/>
      <c r="Q76" s="137"/>
      <c r="R76" s="134"/>
      <c r="S76" s="137"/>
      <c r="T76" s="15"/>
      <c r="U76" s="15"/>
      <c r="V76" s="15"/>
      <c r="W76" s="5"/>
      <c r="X76" s="5"/>
      <c r="Y76" s="102"/>
      <c r="Z76" s="102"/>
      <c r="AA76" s="102"/>
      <c r="AB76" s="103"/>
      <c r="AC76" s="103"/>
      <c r="AD76" s="103"/>
      <c r="AE76" s="100"/>
      <c r="AF76" s="100"/>
      <c r="AG76" s="104"/>
      <c r="AH76" s="104"/>
      <c r="AI76" s="104"/>
      <c r="AJ76" s="104"/>
      <c r="AK76" s="104"/>
      <c r="AL76" s="104"/>
      <c r="AM76" s="104"/>
      <c r="AN76" s="104"/>
      <c r="AO76" s="104"/>
      <c r="AP76" s="104"/>
      <c r="AQ76" s="104"/>
    </row>
    <row r="77" spans="1:43" ht="15.75" customHeight="1">
      <c r="A77" s="18" t="s">
        <v>218</v>
      </c>
      <c r="B77" s="16" t="s">
        <v>82</v>
      </c>
      <c r="C77" s="16">
        <v>1</v>
      </c>
      <c r="D77" s="131" t="s">
        <v>83</v>
      </c>
      <c r="E77" s="131">
        <v>380144</v>
      </c>
      <c r="F77" s="132">
        <v>45994</v>
      </c>
      <c r="G77" s="133">
        <v>45999</v>
      </c>
      <c r="H77" s="89" t="e">
        <f t="shared" ca="1" si="0"/>
        <v>#NAME?</v>
      </c>
      <c r="I77" s="143"/>
      <c r="J77" s="143"/>
      <c r="K77" s="133"/>
      <c r="L77" s="133"/>
      <c r="M77" s="134">
        <f t="shared" si="2"/>
        <v>0</v>
      </c>
      <c r="N77" s="137"/>
      <c r="O77" s="137"/>
      <c r="P77" s="144"/>
      <c r="Q77" s="137"/>
      <c r="R77" s="134"/>
      <c r="S77" s="137"/>
      <c r="T77" s="15"/>
      <c r="U77" s="15"/>
      <c r="V77" s="15"/>
      <c r="W77" s="5"/>
      <c r="X77" s="102"/>
      <c r="Y77" s="102"/>
      <c r="Z77" s="102"/>
      <c r="AA77" s="102"/>
      <c r="AB77" s="103"/>
      <c r="AC77" s="103"/>
      <c r="AD77" s="103"/>
      <c r="AE77" s="100"/>
      <c r="AF77" s="100"/>
      <c r="AG77" s="104"/>
      <c r="AH77" s="104"/>
      <c r="AI77" s="104"/>
      <c r="AJ77" s="104"/>
      <c r="AK77" s="104"/>
      <c r="AL77" s="104"/>
      <c r="AM77" s="104"/>
      <c r="AN77" s="104"/>
      <c r="AO77" s="104"/>
      <c r="AP77" s="104"/>
      <c r="AQ77" s="104"/>
    </row>
    <row r="78" spans="1:43" ht="13.5" customHeight="1">
      <c r="A78" s="18" t="s">
        <v>218</v>
      </c>
      <c r="B78" s="16" t="s">
        <v>84</v>
      </c>
      <c r="C78" s="16">
        <v>1</v>
      </c>
      <c r="D78" s="131" t="s">
        <v>342</v>
      </c>
      <c r="E78" s="131">
        <v>363241</v>
      </c>
      <c r="F78" s="132">
        <v>45962</v>
      </c>
      <c r="G78" s="133">
        <v>45968</v>
      </c>
      <c r="H78" s="89" t="e">
        <f t="shared" ca="1" si="0"/>
        <v>#NAME?</v>
      </c>
      <c r="I78" s="135" t="s">
        <v>266</v>
      </c>
      <c r="J78" s="135">
        <v>377642</v>
      </c>
      <c r="K78" s="136">
        <v>45990</v>
      </c>
      <c r="L78" s="136">
        <v>45997</v>
      </c>
      <c r="M78" s="134">
        <f t="shared" si="2"/>
        <v>5</v>
      </c>
      <c r="N78" s="137"/>
      <c r="O78" s="137"/>
      <c r="P78" s="137"/>
      <c r="Q78" s="149"/>
      <c r="R78" s="134"/>
      <c r="S78" s="150"/>
      <c r="T78" s="34"/>
      <c r="U78" s="51"/>
      <c r="V78" s="36"/>
      <c r="W78" s="5"/>
      <c r="X78" s="102"/>
      <c r="Y78" s="102"/>
      <c r="Z78" s="102"/>
      <c r="AA78" s="102"/>
      <c r="AB78" s="103"/>
      <c r="AC78" s="103"/>
      <c r="AD78" s="103"/>
      <c r="AE78" s="100"/>
      <c r="AF78" s="100"/>
      <c r="AG78" s="104"/>
      <c r="AH78" s="104"/>
      <c r="AI78" s="104"/>
      <c r="AJ78" s="104"/>
      <c r="AK78" s="104"/>
      <c r="AL78" s="104"/>
      <c r="AM78" s="104"/>
      <c r="AN78" s="104"/>
      <c r="AO78" s="104"/>
      <c r="AP78" s="104"/>
      <c r="AQ78" s="104"/>
    </row>
    <row r="79" spans="1:43" ht="15.75" customHeight="1">
      <c r="A79" s="18" t="s">
        <v>218</v>
      </c>
      <c r="B79" s="16" t="s">
        <v>84</v>
      </c>
      <c r="C79" s="16">
        <v>1</v>
      </c>
      <c r="D79" s="131" t="s">
        <v>341</v>
      </c>
      <c r="E79" s="131">
        <v>363250</v>
      </c>
      <c r="F79" s="132">
        <v>45962</v>
      </c>
      <c r="G79" s="133">
        <v>46015</v>
      </c>
      <c r="H79" s="89" t="e">
        <f t="shared" ca="1" si="0"/>
        <v>#NAME?</v>
      </c>
      <c r="I79" s="131" t="s">
        <v>231</v>
      </c>
      <c r="J79" s="131">
        <v>380182</v>
      </c>
      <c r="K79" s="132">
        <v>45994</v>
      </c>
      <c r="L79" s="133">
        <v>46015</v>
      </c>
      <c r="M79" s="134">
        <f t="shared" si="2"/>
        <v>16</v>
      </c>
      <c r="N79" s="137"/>
      <c r="O79" s="137"/>
      <c r="P79" s="137"/>
      <c r="Q79" s="149"/>
      <c r="R79" s="134"/>
      <c r="S79" s="137"/>
      <c r="T79" s="15"/>
      <c r="U79" s="15"/>
      <c r="V79" s="15"/>
      <c r="W79" s="5"/>
      <c r="X79" s="102"/>
      <c r="Y79" s="102"/>
      <c r="Z79" s="102"/>
      <c r="AA79" s="102"/>
      <c r="AB79" s="103"/>
      <c r="AC79" s="103"/>
      <c r="AD79" s="103"/>
      <c r="AE79" s="100"/>
      <c r="AF79" s="100"/>
      <c r="AG79" s="104"/>
      <c r="AH79" s="104"/>
      <c r="AI79" s="104"/>
      <c r="AJ79" s="104"/>
      <c r="AK79" s="104"/>
      <c r="AL79" s="104"/>
      <c r="AM79" s="104"/>
      <c r="AN79" s="104"/>
      <c r="AO79" s="104"/>
      <c r="AP79" s="104"/>
      <c r="AQ79" s="104"/>
    </row>
    <row r="80" spans="1:43" ht="13.5" customHeight="1">
      <c r="A80" s="18" t="s">
        <v>218</v>
      </c>
      <c r="B80" s="19" t="s">
        <v>85</v>
      </c>
      <c r="C80" s="15">
        <v>1</v>
      </c>
      <c r="D80" s="131" t="s">
        <v>353</v>
      </c>
      <c r="E80" s="131">
        <v>381638</v>
      </c>
      <c r="F80" s="132">
        <v>45996</v>
      </c>
      <c r="G80" s="133">
        <v>46006</v>
      </c>
      <c r="H80" s="89" t="e">
        <f t="shared" ca="1" si="0"/>
        <v>#NAME?</v>
      </c>
      <c r="I80" s="131" t="s">
        <v>354</v>
      </c>
      <c r="J80" s="131">
        <v>234920</v>
      </c>
      <c r="K80" s="132">
        <v>45670</v>
      </c>
      <c r="L80" s="137" t="s">
        <v>355</v>
      </c>
      <c r="M80" s="134">
        <f t="shared" si="2"/>
        <v>249</v>
      </c>
      <c r="N80" s="138" t="s">
        <v>356</v>
      </c>
      <c r="O80" s="138">
        <v>357226</v>
      </c>
      <c r="P80" s="151"/>
      <c r="Q80" s="137"/>
      <c r="R80" s="134"/>
      <c r="S80" s="152" t="s">
        <v>357</v>
      </c>
      <c r="T80" s="153">
        <v>368560</v>
      </c>
      <c r="U80" s="33"/>
      <c r="V80" s="33"/>
      <c r="W80" s="5"/>
      <c r="X80" s="114"/>
      <c r="Y80" s="114"/>
      <c r="Z80" s="114"/>
      <c r="AA80" s="114"/>
      <c r="AB80" s="103"/>
      <c r="AC80" s="103"/>
      <c r="AD80" s="103"/>
      <c r="AE80" s="100"/>
      <c r="AF80" s="100"/>
      <c r="AG80" s="104"/>
      <c r="AH80" s="104"/>
      <c r="AI80" s="104"/>
      <c r="AJ80" s="104"/>
      <c r="AK80" s="104"/>
      <c r="AL80" s="104"/>
      <c r="AM80" s="104"/>
      <c r="AN80" s="104"/>
      <c r="AO80" s="104"/>
      <c r="AP80" s="104"/>
      <c r="AQ80" s="104"/>
    </row>
    <row r="81" spans="1:43" ht="15.75" customHeight="1">
      <c r="A81" s="18" t="s">
        <v>218</v>
      </c>
      <c r="B81" s="19" t="s">
        <v>87</v>
      </c>
      <c r="C81" s="15">
        <v>1</v>
      </c>
      <c r="D81" s="131" t="s">
        <v>286</v>
      </c>
      <c r="E81" s="131">
        <v>366874</v>
      </c>
      <c r="F81" s="132">
        <v>45967</v>
      </c>
      <c r="G81" s="133">
        <v>45974</v>
      </c>
      <c r="H81" s="89" t="e">
        <f t="shared" ca="1" si="0"/>
        <v>#NAME?</v>
      </c>
      <c r="I81" s="131" t="s">
        <v>88</v>
      </c>
      <c r="J81" s="131">
        <v>169359</v>
      </c>
      <c r="K81" s="132">
        <v>45490</v>
      </c>
      <c r="L81" s="149">
        <v>45815</v>
      </c>
      <c r="M81" s="134">
        <f t="shared" si="2"/>
        <v>233</v>
      </c>
      <c r="N81" s="131" t="s">
        <v>343</v>
      </c>
      <c r="O81" s="131">
        <v>330594</v>
      </c>
      <c r="P81" s="132">
        <v>45871</v>
      </c>
      <c r="Q81" s="133">
        <v>45873</v>
      </c>
      <c r="R81" s="134"/>
      <c r="S81" s="138" t="s">
        <v>358</v>
      </c>
      <c r="T81" s="154">
        <v>363385</v>
      </c>
      <c r="U81" s="71">
        <v>45668</v>
      </c>
      <c r="V81" s="155">
        <v>45849</v>
      </c>
      <c r="W81" s="5"/>
      <c r="X81" s="15" t="s">
        <v>359</v>
      </c>
      <c r="Y81" s="15">
        <v>363251</v>
      </c>
      <c r="Z81" s="88">
        <v>45668</v>
      </c>
      <c r="AA81" s="15" t="s">
        <v>360</v>
      </c>
      <c r="AB81" s="103"/>
      <c r="AC81" s="103"/>
      <c r="AD81" s="103"/>
      <c r="AE81" s="100"/>
      <c r="AF81" s="100"/>
      <c r="AG81" s="104"/>
      <c r="AH81" s="104"/>
      <c r="AI81" s="104"/>
      <c r="AJ81" s="104"/>
      <c r="AK81" s="104"/>
      <c r="AL81" s="104"/>
      <c r="AM81" s="104"/>
      <c r="AN81" s="104"/>
      <c r="AO81" s="104"/>
      <c r="AP81" s="104"/>
      <c r="AQ81" s="104"/>
    </row>
    <row r="82" spans="1:43" ht="15.75" customHeight="1">
      <c r="A82" s="18" t="s">
        <v>218</v>
      </c>
      <c r="B82" s="53" t="s">
        <v>89</v>
      </c>
      <c r="C82" s="16">
        <v>1</v>
      </c>
      <c r="D82" s="131" t="s">
        <v>361</v>
      </c>
      <c r="E82" s="131">
        <v>363265</v>
      </c>
      <c r="F82" s="132">
        <v>45962</v>
      </c>
      <c r="G82" s="133">
        <v>45968</v>
      </c>
      <c r="H82" s="89" t="e">
        <f t="shared" ca="1" si="0"/>
        <v>#NAME?</v>
      </c>
      <c r="I82" s="131" t="s">
        <v>343</v>
      </c>
      <c r="J82" s="131">
        <v>330594</v>
      </c>
      <c r="K82" s="132">
        <v>45871</v>
      </c>
      <c r="L82" s="133">
        <v>45873</v>
      </c>
      <c r="M82" s="134">
        <f t="shared" si="2"/>
        <v>1</v>
      </c>
      <c r="N82" s="131" t="s">
        <v>354</v>
      </c>
      <c r="O82" s="131">
        <v>234920</v>
      </c>
      <c r="P82" s="132">
        <v>45670</v>
      </c>
      <c r="Q82" s="144">
        <v>45909</v>
      </c>
      <c r="R82" s="134"/>
      <c r="S82" s="143"/>
      <c r="T82" s="70"/>
      <c r="U82" s="71"/>
      <c r="V82" s="72"/>
      <c r="W82" s="5"/>
      <c r="X82" s="102"/>
      <c r="Y82" s="102"/>
      <c r="Z82" s="102"/>
      <c r="AA82" s="102"/>
      <c r="AB82" s="103"/>
      <c r="AC82" s="103"/>
      <c r="AD82" s="103"/>
      <c r="AE82" s="100"/>
      <c r="AF82" s="100"/>
      <c r="AG82" s="104"/>
      <c r="AH82" s="104"/>
      <c r="AI82" s="104"/>
      <c r="AJ82" s="104"/>
      <c r="AK82" s="104"/>
      <c r="AL82" s="104"/>
      <c r="AM82" s="104"/>
      <c r="AN82" s="104"/>
      <c r="AO82" s="104"/>
      <c r="AP82" s="104"/>
      <c r="AQ82" s="104"/>
    </row>
    <row r="83" spans="1:43" ht="15.75" customHeight="1">
      <c r="A83" s="18" t="s">
        <v>218</v>
      </c>
      <c r="B83" s="53" t="s">
        <v>89</v>
      </c>
      <c r="C83" s="16">
        <v>1</v>
      </c>
      <c r="D83" s="131" t="s">
        <v>362</v>
      </c>
      <c r="E83" s="131">
        <v>381757</v>
      </c>
      <c r="F83" s="132">
        <v>45997</v>
      </c>
      <c r="G83" s="133">
        <v>46006</v>
      </c>
      <c r="H83" s="89" t="e">
        <f t="shared" ca="1" si="0"/>
        <v>#NAME?</v>
      </c>
      <c r="I83" s="131" t="s">
        <v>353</v>
      </c>
      <c r="J83" s="131">
        <v>381638</v>
      </c>
      <c r="K83" s="132">
        <v>45996</v>
      </c>
      <c r="L83" s="149">
        <v>45789</v>
      </c>
      <c r="M83" s="134">
        <f t="shared" si="2"/>
        <v>-150</v>
      </c>
      <c r="N83" s="156" t="s">
        <v>359</v>
      </c>
      <c r="O83" s="156">
        <v>363251</v>
      </c>
      <c r="P83" s="157">
        <v>45668</v>
      </c>
      <c r="Q83" s="157">
        <v>45669</v>
      </c>
      <c r="R83" s="134"/>
      <c r="S83" s="137"/>
      <c r="T83" s="15"/>
      <c r="U83" s="15"/>
      <c r="V83" s="15"/>
      <c r="W83" s="5"/>
      <c r="X83" s="102"/>
      <c r="Y83" s="102"/>
      <c r="Z83" s="102"/>
      <c r="AA83" s="102"/>
      <c r="AB83" s="103"/>
      <c r="AC83" s="103"/>
      <c r="AD83" s="103"/>
      <c r="AE83" s="100"/>
      <c r="AF83" s="100"/>
      <c r="AG83" s="104"/>
      <c r="AH83" s="104"/>
      <c r="AI83" s="104"/>
      <c r="AJ83" s="104"/>
      <c r="AK83" s="104"/>
      <c r="AL83" s="104"/>
      <c r="AM83" s="104"/>
      <c r="AN83" s="104"/>
      <c r="AO83" s="104"/>
      <c r="AP83" s="104"/>
      <c r="AQ83" s="104"/>
    </row>
    <row r="84" spans="1:43" ht="15.75" customHeight="1">
      <c r="A84" s="18" t="s">
        <v>218</v>
      </c>
      <c r="B84" s="19" t="s">
        <v>91</v>
      </c>
      <c r="C84" s="15">
        <v>1</v>
      </c>
      <c r="D84" s="131" t="s">
        <v>363</v>
      </c>
      <c r="E84" s="131">
        <v>385223</v>
      </c>
      <c r="F84" s="132">
        <v>46004</v>
      </c>
      <c r="G84" s="133">
        <v>46011</v>
      </c>
      <c r="H84" s="89" t="e">
        <f t="shared" ca="1" si="0"/>
        <v>#NAME?</v>
      </c>
      <c r="I84" s="131" t="s">
        <v>88</v>
      </c>
      <c r="J84" s="131">
        <v>169359</v>
      </c>
      <c r="K84" s="132">
        <v>45490</v>
      </c>
      <c r="L84" s="137" t="s">
        <v>364</v>
      </c>
      <c r="M84" s="134">
        <f t="shared" si="2"/>
        <v>376</v>
      </c>
      <c r="N84" s="137"/>
      <c r="O84" s="137"/>
      <c r="P84" s="144"/>
      <c r="Q84" s="149"/>
      <c r="R84" s="134"/>
      <c r="S84" s="137"/>
      <c r="T84" s="15"/>
      <c r="U84" s="15"/>
      <c r="V84" s="15"/>
      <c r="W84" s="15"/>
      <c r="X84" s="15"/>
      <c r="Y84" s="15"/>
      <c r="Z84" s="52"/>
      <c r="AA84" s="15"/>
      <c r="AB84" s="103"/>
      <c r="AC84" s="103"/>
      <c r="AD84" s="103"/>
      <c r="AE84" s="100"/>
      <c r="AF84" s="100"/>
      <c r="AG84" s="104"/>
      <c r="AH84" s="104"/>
      <c r="AI84" s="104"/>
      <c r="AJ84" s="104"/>
      <c r="AK84" s="104"/>
      <c r="AL84" s="104"/>
      <c r="AM84" s="104"/>
      <c r="AN84" s="104"/>
      <c r="AO84" s="104"/>
      <c r="AP84" s="104"/>
      <c r="AQ84" s="104"/>
    </row>
    <row r="85" spans="1:43" ht="15.75" customHeight="1">
      <c r="A85" s="18" t="s">
        <v>218</v>
      </c>
      <c r="B85" s="15" t="s">
        <v>224</v>
      </c>
      <c r="C85" s="15">
        <v>0</v>
      </c>
      <c r="D85" s="156"/>
      <c r="E85" s="156"/>
      <c r="F85" s="158"/>
      <c r="G85" s="158"/>
      <c r="H85" s="89" t="e">
        <f t="shared" ca="1" si="0"/>
        <v>#NAME?</v>
      </c>
      <c r="I85" s="137"/>
      <c r="J85" s="137"/>
      <c r="K85" s="144"/>
      <c r="L85" s="137"/>
      <c r="M85" s="134">
        <f t="shared" si="2"/>
        <v>0</v>
      </c>
      <c r="N85" s="137"/>
      <c r="O85" s="137"/>
      <c r="P85" s="144"/>
      <c r="Q85" s="137"/>
      <c r="R85" s="134"/>
      <c r="S85" s="137"/>
      <c r="T85" s="15"/>
      <c r="U85" s="15"/>
      <c r="V85" s="15"/>
      <c r="W85" s="15"/>
      <c r="X85" s="102"/>
      <c r="Y85" s="102"/>
      <c r="Z85" s="15"/>
      <c r="AA85" s="15"/>
      <c r="AB85" s="103"/>
      <c r="AC85" s="103"/>
      <c r="AD85" s="103"/>
      <c r="AE85" s="100"/>
      <c r="AF85" s="100"/>
      <c r="AG85" s="104"/>
      <c r="AH85" s="104"/>
      <c r="AI85" s="104"/>
      <c r="AJ85" s="104"/>
      <c r="AK85" s="104"/>
      <c r="AL85" s="104"/>
      <c r="AM85" s="104"/>
      <c r="AN85" s="104"/>
      <c r="AO85" s="104"/>
      <c r="AP85" s="104"/>
      <c r="AQ85" s="104"/>
    </row>
    <row r="86" spans="1:43" ht="15.75" customHeight="1">
      <c r="A86" s="18" t="s">
        <v>218</v>
      </c>
      <c r="B86" s="53" t="s">
        <v>92</v>
      </c>
      <c r="C86" s="16">
        <v>1</v>
      </c>
      <c r="D86" s="131" t="s">
        <v>88</v>
      </c>
      <c r="E86" s="131">
        <v>169359</v>
      </c>
      <c r="F86" s="132">
        <v>45490</v>
      </c>
      <c r="G86" s="133">
        <v>45855</v>
      </c>
      <c r="H86" s="89" t="e">
        <f t="shared" ca="1" si="0"/>
        <v>#NAME?</v>
      </c>
      <c r="I86" s="131" t="s">
        <v>365</v>
      </c>
      <c r="J86" s="131">
        <v>363375</v>
      </c>
      <c r="K86" s="132">
        <v>45962</v>
      </c>
      <c r="L86" s="144">
        <v>45968</v>
      </c>
      <c r="M86" s="134">
        <f t="shared" si="2"/>
        <v>5</v>
      </c>
      <c r="N86" s="137"/>
      <c r="O86" s="137"/>
      <c r="P86" s="137"/>
      <c r="Q86" s="137"/>
      <c r="R86" s="134"/>
      <c r="S86" s="159"/>
      <c r="T86" s="75"/>
      <c r="U86" s="76"/>
      <c r="V86" s="48"/>
      <c r="W86" s="15"/>
      <c r="X86" s="15"/>
      <c r="Y86" s="15"/>
      <c r="Z86" s="52"/>
      <c r="AA86" s="102"/>
      <c r="AB86" s="103"/>
      <c r="AC86" s="103"/>
      <c r="AD86" s="103"/>
      <c r="AE86" s="100"/>
      <c r="AF86" s="100"/>
      <c r="AG86" s="104"/>
      <c r="AH86" s="104"/>
      <c r="AI86" s="104"/>
      <c r="AJ86" s="104"/>
      <c r="AK86" s="104"/>
      <c r="AL86" s="104"/>
      <c r="AM86" s="104"/>
      <c r="AN86" s="104"/>
      <c r="AO86" s="104"/>
      <c r="AP86" s="104"/>
      <c r="AQ86" s="104"/>
    </row>
    <row r="87" spans="1:43" ht="15.75" customHeight="1">
      <c r="A87" s="18" t="s">
        <v>218</v>
      </c>
      <c r="B87" s="53" t="s">
        <v>92</v>
      </c>
      <c r="C87" s="16">
        <v>1</v>
      </c>
      <c r="D87" s="131" t="s">
        <v>343</v>
      </c>
      <c r="E87" s="131">
        <v>330594</v>
      </c>
      <c r="F87" s="132">
        <v>45871</v>
      </c>
      <c r="G87" s="133">
        <v>46015</v>
      </c>
      <c r="H87" s="89" t="e">
        <f t="shared" ca="1" si="0"/>
        <v>#NAME?</v>
      </c>
      <c r="I87" s="138" t="s">
        <v>358</v>
      </c>
      <c r="J87" s="143">
        <v>363385</v>
      </c>
      <c r="K87" s="132">
        <v>45962</v>
      </c>
      <c r="L87" s="144">
        <v>45968</v>
      </c>
      <c r="M87" s="134">
        <f t="shared" si="2"/>
        <v>5</v>
      </c>
      <c r="N87" s="137"/>
      <c r="O87" s="137"/>
      <c r="P87" s="144"/>
      <c r="Q87" s="151"/>
      <c r="R87" s="134"/>
      <c r="S87" s="143"/>
      <c r="T87" s="70"/>
      <c r="U87" s="73"/>
      <c r="V87" s="73"/>
      <c r="W87" s="160"/>
      <c r="X87" s="160"/>
      <c r="Y87" s="160"/>
      <c r="Z87" s="160"/>
      <c r="AA87" s="102"/>
      <c r="AB87" s="103"/>
      <c r="AC87" s="103"/>
      <c r="AD87" s="103"/>
      <c r="AE87" s="100"/>
      <c r="AF87" s="100"/>
      <c r="AG87" s="104"/>
      <c r="AH87" s="104"/>
      <c r="AI87" s="104"/>
      <c r="AJ87" s="104"/>
      <c r="AK87" s="104"/>
      <c r="AL87" s="104"/>
      <c r="AM87" s="104"/>
      <c r="AN87" s="104"/>
      <c r="AO87" s="104"/>
      <c r="AP87" s="104"/>
      <c r="AQ87" s="104"/>
    </row>
    <row r="88" spans="1:43" ht="15.75" customHeight="1">
      <c r="A88" s="18" t="s">
        <v>218</v>
      </c>
      <c r="B88" s="16" t="s">
        <v>93</v>
      </c>
      <c r="C88" s="16">
        <v>1</v>
      </c>
      <c r="D88" s="131" t="s">
        <v>366</v>
      </c>
      <c r="E88" s="131">
        <v>363266</v>
      </c>
      <c r="F88" s="132">
        <v>45962</v>
      </c>
      <c r="G88" s="133">
        <v>45968</v>
      </c>
      <c r="H88" s="89" t="e">
        <f t="shared" ca="1" si="0"/>
        <v>#NAME?</v>
      </c>
      <c r="I88" s="161" t="s">
        <v>367</v>
      </c>
      <c r="J88" s="152">
        <v>366217</v>
      </c>
      <c r="K88" s="162"/>
      <c r="L88" s="162"/>
      <c r="M88" s="134">
        <f t="shared" si="2"/>
        <v>0</v>
      </c>
      <c r="N88" s="143"/>
      <c r="O88" s="143"/>
      <c r="P88" s="133"/>
      <c r="Q88" s="133"/>
      <c r="R88" s="134"/>
      <c r="S88" s="137"/>
      <c r="T88" s="15"/>
      <c r="U88" s="15"/>
      <c r="V88" s="15"/>
      <c r="W88" s="15"/>
      <c r="X88" s="102"/>
      <c r="Y88" s="102"/>
      <c r="Z88" s="102"/>
      <c r="AA88" s="102"/>
      <c r="AB88" s="103"/>
      <c r="AC88" s="103"/>
      <c r="AD88" s="103"/>
      <c r="AE88" s="100"/>
      <c r="AF88" s="100"/>
      <c r="AG88" s="104"/>
      <c r="AH88" s="104"/>
      <c r="AI88" s="104"/>
      <c r="AJ88" s="104"/>
      <c r="AK88" s="104"/>
      <c r="AL88" s="104"/>
      <c r="AM88" s="104"/>
      <c r="AN88" s="104"/>
      <c r="AO88" s="104"/>
      <c r="AP88" s="104"/>
      <c r="AQ88" s="104"/>
    </row>
    <row r="89" spans="1:43" ht="15.75" customHeight="1">
      <c r="A89" s="18" t="s">
        <v>218</v>
      </c>
      <c r="B89" s="16" t="s">
        <v>93</v>
      </c>
      <c r="C89" s="16">
        <v>1</v>
      </c>
      <c r="D89" s="131" t="s">
        <v>368</v>
      </c>
      <c r="E89" s="131">
        <v>363230</v>
      </c>
      <c r="F89" s="132">
        <v>45962</v>
      </c>
      <c r="G89" s="133">
        <v>45968</v>
      </c>
      <c r="H89" s="89" t="e">
        <f t="shared" ca="1" si="0"/>
        <v>#NAME?</v>
      </c>
      <c r="I89" s="137"/>
      <c r="J89" s="137"/>
      <c r="K89" s="144"/>
      <c r="L89" s="149"/>
      <c r="M89" s="134">
        <f t="shared" si="2"/>
        <v>0</v>
      </c>
      <c r="N89" s="143"/>
      <c r="O89" s="143"/>
      <c r="P89" s="143"/>
      <c r="Q89" s="143"/>
      <c r="R89" s="134"/>
      <c r="S89" s="137"/>
      <c r="T89" s="15"/>
      <c r="U89" s="52"/>
      <c r="V89" s="15"/>
      <c r="W89" s="15"/>
      <c r="X89" s="102"/>
      <c r="Y89" s="102"/>
      <c r="Z89" s="102"/>
      <c r="AA89" s="102"/>
      <c r="AB89" s="103"/>
      <c r="AC89" s="103"/>
      <c r="AD89" s="103"/>
      <c r="AE89" s="100"/>
      <c r="AF89" s="100"/>
      <c r="AG89" s="104"/>
      <c r="AH89" s="104"/>
      <c r="AI89" s="104"/>
      <c r="AJ89" s="104"/>
      <c r="AK89" s="104"/>
      <c r="AL89" s="104"/>
      <c r="AM89" s="104"/>
      <c r="AN89" s="104"/>
      <c r="AO89" s="104"/>
      <c r="AP89" s="104"/>
      <c r="AQ89" s="104"/>
    </row>
    <row r="90" spans="1:43" ht="15.75" customHeight="1">
      <c r="A90" s="18" t="s">
        <v>218</v>
      </c>
      <c r="B90" s="15" t="s">
        <v>94</v>
      </c>
      <c r="C90" s="15">
        <v>1</v>
      </c>
      <c r="D90" s="131" t="s">
        <v>365</v>
      </c>
      <c r="E90" s="131">
        <v>363375</v>
      </c>
      <c r="F90" s="132">
        <v>45962</v>
      </c>
      <c r="G90" s="133">
        <v>45991</v>
      </c>
      <c r="H90" s="89" t="e">
        <f t="shared" ca="1" si="0"/>
        <v>#NAME?</v>
      </c>
      <c r="I90" s="131" t="s">
        <v>354</v>
      </c>
      <c r="J90" s="131">
        <v>234920</v>
      </c>
      <c r="K90" s="132">
        <v>45670</v>
      </c>
      <c r="L90" s="143" t="s">
        <v>228</v>
      </c>
      <c r="M90" s="134">
        <f t="shared" si="2"/>
        <v>120</v>
      </c>
      <c r="N90" s="131" t="s">
        <v>366</v>
      </c>
      <c r="O90" s="131">
        <v>363266</v>
      </c>
      <c r="P90" s="132">
        <v>45962</v>
      </c>
      <c r="Q90" s="133">
        <v>45968</v>
      </c>
      <c r="R90" s="134"/>
      <c r="S90" s="143"/>
      <c r="T90" s="70"/>
      <c r="U90" s="73"/>
      <c r="V90" s="73"/>
      <c r="W90" s="5"/>
      <c r="X90" s="15"/>
      <c r="Y90" s="15"/>
      <c r="Z90" s="33"/>
      <c r="AA90" s="52"/>
      <c r="AB90" s="5"/>
      <c r="AC90" s="103"/>
      <c r="AD90" s="103"/>
      <c r="AE90" s="100"/>
      <c r="AF90" s="163"/>
      <c r="AG90" s="104"/>
      <c r="AH90" s="104"/>
      <c r="AI90" s="104"/>
      <c r="AJ90" s="104"/>
      <c r="AK90" s="104"/>
      <c r="AL90" s="104"/>
      <c r="AM90" s="104"/>
      <c r="AN90" s="104"/>
      <c r="AO90" s="104"/>
      <c r="AP90" s="104"/>
      <c r="AQ90" s="104"/>
    </row>
    <row r="91" spans="1:43" ht="15.75" customHeight="1">
      <c r="A91" s="18" t="s">
        <v>218</v>
      </c>
      <c r="B91" s="15" t="s">
        <v>369</v>
      </c>
      <c r="C91" s="15">
        <v>1</v>
      </c>
      <c r="D91" s="131" t="s">
        <v>370</v>
      </c>
      <c r="E91" s="131">
        <v>363254</v>
      </c>
      <c r="F91" s="132">
        <v>45962</v>
      </c>
      <c r="G91" s="133">
        <v>45992</v>
      </c>
      <c r="H91" s="89" t="e">
        <f t="shared" ca="1" si="0"/>
        <v>#NAME?</v>
      </c>
      <c r="I91" s="137" t="s">
        <v>371</v>
      </c>
      <c r="J91" s="137">
        <v>356521</v>
      </c>
      <c r="K91" s="144"/>
      <c r="L91" s="137"/>
      <c r="M91" s="134">
        <f t="shared" si="2"/>
        <v>0</v>
      </c>
      <c r="N91" s="138" t="s">
        <v>214</v>
      </c>
      <c r="O91" s="145">
        <v>272688</v>
      </c>
      <c r="P91" s="146">
        <v>45904</v>
      </c>
      <c r="Q91" s="137" t="s">
        <v>372</v>
      </c>
      <c r="R91" s="134"/>
      <c r="S91" s="143" t="s">
        <v>18</v>
      </c>
      <c r="T91" s="70">
        <v>388334</v>
      </c>
      <c r="U91" s="70" t="s">
        <v>373</v>
      </c>
      <c r="V91" s="67" t="s">
        <v>364</v>
      </c>
      <c r="W91" s="15"/>
      <c r="X91" s="102"/>
      <c r="Y91" s="102"/>
      <c r="Z91" s="164"/>
      <c r="AA91" s="102"/>
      <c r="AB91" s="103"/>
      <c r="AC91" s="103"/>
      <c r="AD91" s="103"/>
      <c r="AE91" s="100"/>
      <c r="AF91" s="100"/>
      <c r="AG91" s="104"/>
      <c r="AH91" s="104"/>
      <c r="AI91" s="104"/>
      <c r="AJ91" s="104"/>
      <c r="AK91" s="104"/>
      <c r="AL91" s="104"/>
      <c r="AM91" s="104"/>
      <c r="AN91" s="104"/>
      <c r="AO91" s="104"/>
      <c r="AP91" s="104"/>
      <c r="AQ91" s="104"/>
    </row>
    <row r="92" spans="1:43" ht="15.75" customHeight="1">
      <c r="A92" s="18" t="s">
        <v>218</v>
      </c>
      <c r="B92" s="15" t="s">
        <v>226</v>
      </c>
      <c r="C92" s="15">
        <v>1</v>
      </c>
      <c r="D92" s="131" t="s">
        <v>55</v>
      </c>
      <c r="E92" s="131">
        <v>260360</v>
      </c>
      <c r="F92" s="132">
        <v>45996</v>
      </c>
      <c r="G92" s="133">
        <v>46002</v>
      </c>
      <c r="H92" s="89" t="e">
        <f t="shared" ca="1" si="0"/>
        <v>#NAME?</v>
      </c>
      <c r="I92" s="143" t="s">
        <v>374</v>
      </c>
      <c r="J92" s="143">
        <v>369181</v>
      </c>
      <c r="K92" s="143" t="s">
        <v>375</v>
      </c>
      <c r="L92" s="143" t="s">
        <v>222</v>
      </c>
      <c r="M92" s="134" t="e">
        <f t="shared" si="2"/>
        <v>#VALUE!</v>
      </c>
      <c r="N92" s="137" t="s">
        <v>357</v>
      </c>
      <c r="O92" s="137">
        <v>368560</v>
      </c>
      <c r="P92" s="165">
        <v>45941</v>
      </c>
      <c r="Q92" s="137" t="s">
        <v>376</v>
      </c>
      <c r="R92" s="137"/>
      <c r="S92" s="166" t="s">
        <v>296</v>
      </c>
      <c r="T92" s="166">
        <v>363235</v>
      </c>
      <c r="U92" s="167">
        <v>45668</v>
      </c>
      <c r="V92" s="167">
        <v>45849</v>
      </c>
      <c r="W92" s="15"/>
      <c r="AB92" s="103"/>
      <c r="AC92" s="103"/>
      <c r="AD92" s="103"/>
      <c r="AE92" s="100"/>
      <c r="AF92" s="100"/>
      <c r="AG92" s="104"/>
      <c r="AH92" s="104"/>
      <c r="AI92" s="104"/>
      <c r="AJ92" s="104"/>
      <c r="AK92" s="104"/>
      <c r="AL92" s="104"/>
      <c r="AM92" s="104"/>
      <c r="AN92" s="104"/>
      <c r="AO92" s="104"/>
      <c r="AP92" s="104"/>
      <c r="AQ92" s="104"/>
    </row>
    <row r="93" spans="1:43" ht="15.75" customHeight="1">
      <c r="A93" s="18" t="s">
        <v>218</v>
      </c>
      <c r="B93" s="15" t="s">
        <v>95</v>
      </c>
      <c r="C93" s="15">
        <v>1</v>
      </c>
      <c r="D93" s="131" t="s">
        <v>374</v>
      </c>
      <c r="E93" s="131">
        <v>369181</v>
      </c>
      <c r="F93" s="132">
        <v>45735</v>
      </c>
      <c r="G93" s="133">
        <v>45826</v>
      </c>
      <c r="H93" s="89" t="e">
        <f t="shared" ca="1" si="0"/>
        <v>#NAME?</v>
      </c>
      <c r="I93" s="131" t="s">
        <v>55</v>
      </c>
      <c r="J93" s="131">
        <v>260360</v>
      </c>
      <c r="K93" s="132">
        <v>45996</v>
      </c>
      <c r="L93" s="137" t="s">
        <v>237</v>
      </c>
      <c r="M93" s="134">
        <f t="shared" si="2"/>
        <v>-117</v>
      </c>
      <c r="N93" s="131" t="s">
        <v>370</v>
      </c>
      <c r="O93" s="131">
        <v>363254</v>
      </c>
      <c r="P93" s="132">
        <v>45962</v>
      </c>
      <c r="Q93" s="133">
        <v>45880</v>
      </c>
      <c r="R93" s="137"/>
      <c r="S93" s="143"/>
      <c r="T93" s="70"/>
      <c r="U93" s="73"/>
      <c r="V93" s="70"/>
      <c r="W93" s="15"/>
      <c r="X93" s="67"/>
      <c r="Y93" s="67"/>
      <c r="Z93" s="68"/>
      <c r="AA93" s="73"/>
      <c r="AB93" s="103"/>
      <c r="AC93" s="103"/>
      <c r="AD93" s="103"/>
      <c r="AE93" s="100"/>
      <c r="AF93" s="100"/>
      <c r="AG93" s="104"/>
      <c r="AH93" s="104"/>
      <c r="AI93" s="104"/>
      <c r="AJ93" s="104"/>
      <c r="AK93" s="104"/>
      <c r="AL93" s="104"/>
      <c r="AM93" s="104"/>
      <c r="AN93" s="104"/>
      <c r="AO93" s="104"/>
      <c r="AP93" s="104"/>
      <c r="AQ93" s="104"/>
    </row>
    <row r="94" spans="1:43" ht="15.75" customHeight="1">
      <c r="A94" s="18" t="s">
        <v>218</v>
      </c>
      <c r="B94" s="53" t="s">
        <v>96</v>
      </c>
      <c r="C94" s="16">
        <v>1</v>
      </c>
      <c r="D94" s="131" t="s">
        <v>377</v>
      </c>
      <c r="E94" s="131">
        <v>363245</v>
      </c>
      <c r="F94" s="132">
        <v>45839</v>
      </c>
      <c r="G94" s="133">
        <v>45978</v>
      </c>
      <c r="H94" s="89" t="e">
        <f t="shared" ca="1" si="0"/>
        <v>#NAME?</v>
      </c>
      <c r="I94" s="131" t="s">
        <v>55</v>
      </c>
      <c r="J94" s="131">
        <v>260360</v>
      </c>
      <c r="K94" s="132">
        <v>45996</v>
      </c>
      <c r="L94" s="133">
        <v>46002</v>
      </c>
      <c r="M94" s="134">
        <f t="shared" si="2"/>
        <v>5</v>
      </c>
      <c r="N94" s="131" t="s">
        <v>357</v>
      </c>
      <c r="O94" s="131">
        <v>388805</v>
      </c>
      <c r="P94" s="131" t="s">
        <v>378</v>
      </c>
      <c r="Q94" s="143" t="s">
        <v>376</v>
      </c>
      <c r="R94" s="137"/>
      <c r="S94" s="168" t="s">
        <v>379</v>
      </c>
      <c r="T94" s="160">
        <v>363255</v>
      </c>
      <c r="U94" s="169">
        <v>45668</v>
      </c>
      <c r="V94" s="169">
        <v>45880</v>
      </c>
      <c r="W94" s="15"/>
      <c r="X94" s="102" t="s">
        <v>296</v>
      </c>
      <c r="Y94" s="102">
        <v>363235</v>
      </c>
      <c r="Z94" s="170">
        <v>45668</v>
      </c>
      <c r="AA94" s="102" t="s">
        <v>380</v>
      </c>
      <c r="AB94" s="103"/>
      <c r="AC94" s="103"/>
      <c r="AD94" s="103"/>
      <c r="AE94" s="100"/>
      <c r="AF94" s="100"/>
      <c r="AG94" s="104"/>
      <c r="AH94" s="104"/>
      <c r="AI94" s="104"/>
      <c r="AJ94" s="104"/>
      <c r="AK94" s="104"/>
      <c r="AL94" s="104"/>
      <c r="AM94" s="104"/>
      <c r="AN94" s="104"/>
      <c r="AO94" s="104"/>
      <c r="AP94" s="104"/>
      <c r="AQ94" s="104"/>
    </row>
    <row r="95" spans="1:43" ht="15.75" customHeight="1">
      <c r="A95" s="18" t="s">
        <v>218</v>
      </c>
      <c r="B95" s="53" t="s">
        <v>96</v>
      </c>
      <c r="C95" s="16">
        <v>1</v>
      </c>
      <c r="D95" s="131" t="s">
        <v>296</v>
      </c>
      <c r="E95" s="131">
        <v>363235</v>
      </c>
      <c r="F95" s="132">
        <v>45962</v>
      </c>
      <c r="G95" s="133">
        <v>46009</v>
      </c>
      <c r="H95" s="89" t="e">
        <f t="shared" ca="1" si="0"/>
        <v>#NAME?</v>
      </c>
      <c r="I95" s="137" t="s">
        <v>381</v>
      </c>
      <c r="J95" s="137">
        <v>363255</v>
      </c>
      <c r="K95" s="144">
        <v>45668</v>
      </c>
      <c r="L95" s="149">
        <v>45880</v>
      </c>
      <c r="M95" s="134">
        <f t="shared" si="2"/>
        <v>151</v>
      </c>
      <c r="N95" s="137"/>
      <c r="O95" s="137"/>
      <c r="P95" s="144"/>
      <c r="Q95" s="149"/>
      <c r="R95" s="137"/>
      <c r="S95" s="137"/>
      <c r="T95" s="15"/>
      <c r="U95" s="15"/>
      <c r="V95" s="15"/>
      <c r="W95" s="15"/>
      <c r="X95" s="102"/>
      <c r="Y95" s="102"/>
      <c r="Z95" s="102"/>
      <c r="AA95" s="102"/>
      <c r="AB95" s="103"/>
      <c r="AC95" s="103"/>
      <c r="AD95" s="103"/>
      <c r="AE95" s="100"/>
      <c r="AF95" s="100"/>
      <c r="AG95" s="104"/>
      <c r="AH95" s="104"/>
      <c r="AI95" s="104"/>
      <c r="AJ95" s="104"/>
      <c r="AK95" s="104"/>
      <c r="AL95" s="104"/>
      <c r="AM95" s="104"/>
      <c r="AN95" s="104"/>
      <c r="AO95" s="104"/>
      <c r="AP95" s="104"/>
      <c r="AQ95" s="104"/>
    </row>
    <row r="96" spans="1:43" ht="15.75" customHeight="1">
      <c r="A96" s="18" t="s">
        <v>218</v>
      </c>
      <c r="B96" s="53" t="s">
        <v>97</v>
      </c>
      <c r="C96" s="16">
        <v>1</v>
      </c>
      <c r="D96" s="131" t="s">
        <v>382</v>
      </c>
      <c r="E96" s="131">
        <v>363238</v>
      </c>
      <c r="F96" s="132">
        <v>45961</v>
      </c>
      <c r="G96" s="133">
        <v>45968</v>
      </c>
      <c r="H96" s="89" t="e">
        <f t="shared" ca="1" si="0"/>
        <v>#NAME?</v>
      </c>
      <c r="I96" s="138" t="s">
        <v>214</v>
      </c>
      <c r="J96" s="145">
        <v>272688</v>
      </c>
      <c r="K96" s="146">
        <v>45904</v>
      </c>
      <c r="L96" s="137" t="s">
        <v>372</v>
      </c>
      <c r="M96" s="134">
        <f t="shared" si="2"/>
        <v>62</v>
      </c>
      <c r="N96" s="143"/>
      <c r="O96" s="143"/>
      <c r="P96" s="133"/>
      <c r="Q96" s="143"/>
      <c r="R96" s="137"/>
      <c r="S96" s="137"/>
      <c r="T96" s="15"/>
      <c r="U96" s="15"/>
      <c r="V96" s="15"/>
      <c r="W96" s="15"/>
      <c r="X96" s="102"/>
      <c r="Y96" s="102"/>
      <c r="Z96" s="102"/>
      <c r="AA96" s="102"/>
      <c r="AB96" s="103"/>
      <c r="AC96" s="103"/>
      <c r="AD96" s="103"/>
      <c r="AE96" s="100"/>
      <c r="AF96" s="100"/>
      <c r="AG96" s="104"/>
      <c r="AH96" s="104"/>
      <c r="AI96" s="104"/>
      <c r="AJ96" s="104"/>
      <c r="AK96" s="104"/>
      <c r="AL96" s="104"/>
      <c r="AM96" s="104"/>
      <c r="AN96" s="104"/>
      <c r="AO96" s="104"/>
      <c r="AP96" s="104"/>
      <c r="AQ96" s="104"/>
    </row>
    <row r="97" spans="1:43" ht="15.75" customHeight="1">
      <c r="A97" s="18" t="s">
        <v>218</v>
      </c>
      <c r="B97" s="53" t="s">
        <v>97</v>
      </c>
      <c r="C97" s="16">
        <v>1</v>
      </c>
      <c r="D97" s="131" t="s">
        <v>383</v>
      </c>
      <c r="E97" s="131">
        <v>363376</v>
      </c>
      <c r="F97" s="132">
        <v>45962</v>
      </c>
      <c r="G97" s="133">
        <v>45968</v>
      </c>
      <c r="H97" s="89" t="e">
        <f t="shared" ca="1" si="0"/>
        <v>#NAME?</v>
      </c>
      <c r="I97" s="137"/>
      <c r="J97" s="137"/>
      <c r="K97" s="144"/>
      <c r="L97" s="137"/>
      <c r="M97" s="134">
        <f t="shared" si="2"/>
        <v>0</v>
      </c>
      <c r="N97" s="137"/>
      <c r="O97" s="137"/>
      <c r="P97" s="144"/>
      <c r="Q97" s="149"/>
      <c r="R97" s="137"/>
      <c r="S97" s="137"/>
      <c r="T97" s="15"/>
      <c r="U97" s="15"/>
      <c r="V97" s="15"/>
      <c r="W97" s="15"/>
      <c r="X97" s="102"/>
      <c r="Y97" s="102"/>
      <c r="Z97" s="102"/>
      <c r="AA97" s="102"/>
      <c r="AB97" s="103"/>
      <c r="AC97" s="103"/>
      <c r="AD97" s="103"/>
      <c r="AE97" s="100"/>
      <c r="AF97" s="100"/>
      <c r="AG97" s="104"/>
      <c r="AH97" s="104"/>
      <c r="AI97" s="104"/>
      <c r="AJ97" s="104"/>
      <c r="AK97" s="104"/>
      <c r="AL97" s="104"/>
      <c r="AM97" s="104"/>
      <c r="AN97" s="104"/>
      <c r="AO97" s="104"/>
      <c r="AP97" s="104"/>
      <c r="AQ97" s="104"/>
    </row>
    <row r="98" spans="1:43" ht="15.75" customHeight="1">
      <c r="A98" s="18" t="s">
        <v>218</v>
      </c>
      <c r="B98" s="53" t="s">
        <v>97</v>
      </c>
      <c r="C98" s="16">
        <v>1</v>
      </c>
      <c r="D98" s="131" t="s">
        <v>50</v>
      </c>
      <c r="E98" s="131">
        <v>362326</v>
      </c>
      <c r="F98" s="133">
        <v>45961</v>
      </c>
      <c r="G98" s="133">
        <v>45968</v>
      </c>
      <c r="H98" s="89" t="e">
        <f t="shared" ca="1" si="0"/>
        <v>#NAME?</v>
      </c>
      <c r="I98" s="137"/>
      <c r="J98" s="137"/>
      <c r="K98" s="144"/>
      <c r="L98" s="137"/>
      <c r="M98" s="134">
        <f t="shared" si="2"/>
        <v>0</v>
      </c>
      <c r="N98" s="137"/>
      <c r="O98" s="137"/>
      <c r="P98" s="144"/>
      <c r="Q98" s="137"/>
      <c r="R98" s="137"/>
      <c r="S98" s="137"/>
      <c r="T98" s="15"/>
      <c r="U98" s="15"/>
      <c r="V98" s="15"/>
      <c r="W98" s="15"/>
      <c r="X98" s="102"/>
      <c r="Y98" s="102"/>
      <c r="Z98" s="102"/>
      <c r="AA98" s="102"/>
      <c r="AB98" s="103"/>
      <c r="AC98" s="103"/>
      <c r="AD98" s="103"/>
      <c r="AE98" s="100"/>
      <c r="AF98" s="100"/>
      <c r="AG98" s="104"/>
      <c r="AH98" s="104"/>
      <c r="AI98" s="104"/>
      <c r="AJ98" s="104"/>
      <c r="AK98" s="104"/>
      <c r="AL98" s="104"/>
      <c r="AM98" s="104"/>
      <c r="AN98" s="104"/>
      <c r="AO98" s="104"/>
      <c r="AP98" s="104"/>
      <c r="AQ98" s="104"/>
    </row>
    <row r="99" spans="1:43" ht="15.75" customHeight="1">
      <c r="A99" s="18" t="s">
        <v>218</v>
      </c>
      <c r="B99" s="15" t="s">
        <v>99</v>
      </c>
      <c r="C99" s="15">
        <v>1</v>
      </c>
      <c r="D99" s="131" t="s">
        <v>370</v>
      </c>
      <c r="E99" s="131">
        <v>363254</v>
      </c>
      <c r="F99" s="132">
        <v>45962</v>
      </c>
      <c r="G99" s="133">
        <v>45968</v>
      </c>
      <c r="H99" s="89" t="e">
        <f t="shared" ca="1" si="0"/>
        <v>#NAME?</v>
      </c>
      <c r="I99" s="137" t="s">
        <v>291</v>
      </c>
      <c r="J99" s="137">
        <v>363270</v>
      </c>
      <c r="K99" s="144">
        <v>45668</v>
      </c>
      <c r="L99" s="171">
        <v>45849</v>
      </c>
      <c r="M99" s="134">
        <f t="shared" si="2"/>
        <v>130</v>
      </c>
      <c r="N99" s="143"/>
      <c r="O99" s="143"/>
      <c r="P99" s="133"/>
      <c r="Q99" s="143"/>
      <c r="R99" s="134"/>
      <c r="S99" s="137"/>
      <c r="T99" s="15"/>
      <c r="U99" s="15"/>
      <c r="V99" s="15"/>
      <c r="W99" s="15"/>
      <c r="X99" s="102"/>
      <c r="Y99" s="102"/>
      <c r="Z99" s="102"/>
      <c r="AA99" s="102"/>
      <c r="AB99" s="103"/>
      <c r="AC99" s="103"/>
      <c r="AD99" s="103"/>
      <c r="AE99" s="100"/>
      <c r="AF99" s="100"/>
      <c r="AG99" s="104"/>
      <c r="AH99" s="104"/>
      <c r="AI99" s="104"/>
      <c r="AJ99" s="104"/>
      <c r="AK99" s="104"/>
      <c r="AL99" s="104"/>
      <c r="AM99" s="104"/>
      <c r="AN99" s="104"/>
      <c r="AO99" s="104"/>
      <c r="AP99" s="104"/>
      <c r="AQ99" s="104"/>
    </row>
    <row r="100" spans="1:43" ht="15.75" customHeight="1">
      <c r="A100" s="18" t="s">
        <v>218</v>
      </c>
      <c r="B100" s="15" t="s">
        <v>100</v>
      </c>
      <c r="C100" s="15">
        <v>1</v>
      </c>
      <c r="D100" s="131" t="s">
        <v>212</v>
      </c>
      <c r="E100" s="131">
        <v>369183</v>
      </c>
      <c r="F100" s="132">
        <v>45972</v>
      </c>
      <c r="G100" s="133">
        <v>45976</v>
      </c>
      <c r="H100" s="89" t="e">
        <f t="shared" ca="1" si="0"/>
        <v>#NAME?</v>
      </c>
      <c r="I100" s="143" t="s">
        <v>374</v>
      </c>
      <c r="J100" s="143">
        <v>369181</v>
      </c>
      <c r="K100" s="143" t="s">
        <v>375</v>
      </c>
      <c r="L100" s="143" t="s">
        <v>222</v>
      </c>
      <c r="M100" s="134" t="e">
        <f t="shared" si="2"/>
        <v>#VALUE!</v>
      </c>
      <c r="N100" s="137"/>
      <c r="O100" s="137"/>
      <c r="P100" s="144"/>
      <c r="Q100" s="171"/>
      <c r="R100" s="137"/>
      <c r="S100" s="137"/>
      <c r="T100" s="15"/>
      <c r="U100" s="33"/>
      <c r="V100" s="15"/>
      <c r="W100" s="15"/>
      <c r="X100" s="102"/>
      <c r="Y100" s="102"/>
      <c r="Z100" s="102"/>
      <c r="AA100" s="102"/>
      <c r="AB100" s="103"/>
      <c r="AC100" s="103"/>
      <c r="AD100" s="103"/>
      <c r="AE100" s="100"/>
      <c r="AF100" s="100"/>
      <c r="AG100" s="104"/>
      <c r="AH100" s="104"/>
      <c r="AI100" s="104"/>
      <c r="AJ100" s="104"/>
      <c r="AK100" s="104"/>
      <c r="AL100" s="104"/>
      <c r="AM100" s="104"/>
      <c r="AN100" s="104"/>
      <c r="AO100" s="104"/>
      <c r="AP100" s="104"/>
      <c r="AQ100" s="104"/>
    </row>
    <row r="101" spans="1:43" ht="15.75" customHeight="1">
      <c r="A101" s="18" t="s">
        <v>218</v>
      </c>
      <c r="B101" s="15" t="s">
        <v>101</v>
      </c>
      <c r="C101" s="15">
        <v>1</v>
      </c>
      <c r="D101" s="131" t="s">
        <v>90</v>
      </c>
      <c r="E101" s="131">
        <v>363248</v>
      </c>
      <c r="F101" s="132">
        <v>45972</v>
      </c>
      <c r="G101" s="133">
        <v>45968</v>
      </c>
      <c r="H101" s="89" t="e">
        <f t="shared" ca="1" si="0"/>
        <v>#NAME?</v>
      </c>
      <c r="I101" s="131" t="s">
        <v>368</v>
      </c>
      <c r="J101" s="131">
        <v>363230</v>
      </c>
      <c r="K101" s="132">
        <v>45962</v>
      </c>
      <c r="L101" s="171"/>
      <c r="M101" s="134">
        <f t="shared" si="2"/>
        <v>-32830</v>
      </c>
      <c r="N101" s="131" t="s">
        <v>90</v>
      </c>
      <c r="O101" s="131">
        <v>363248</v>
      </c>
      <c r="P101" s="132">
        <v>45972</v>
      </c>
      <c r="Q101" s="149">
        <v>45700</v>
      </c>
      <c r="R101" s="137"/>
      <c r="S101" s="137"/>
      <c r="T101" s="15"/>
      <c r="U101" s="15"/>
      <c r="V101" s="15"/>
      <c r="W101" s="15"/>
      <c r="X101" s="102"/>
      <c r="Y101" s="102"/>
      <c r="Z101" s="102"/>
      <c r="AA101" s="102"/>
      <c r="AB101" s="103"/>
      <c r="AC101" s="103"/>
      <c r="AD101" s="103"/>
      <c r="AE101" s="100"/>
      <c r="AF101" s="100"/>
      <c r="AG101" s="104"/>
      <c r="AH101" s="104"/>
      <c r="AI101" s="104"/>
      <c r="AJ101" s="104"/>
      <c r="AK101" s="104"/>
      <c r="AL101" s="104"/>
      <c r="AM101" s="104"/>
      <c r="AN101" s="104"/>
      <c r="AO101" s="104"/>
      <c r="AP101" s="104"/>
      <c r="AQ101" s="104"/>
    </row>
    <row r="102" spans="1:43" ht="15.75" customHeight="1">
      <c r="A102" s="18" t="s">
        <v>218</v>
      </c>
      <c r="B102" s="15" t="s">
        <v>102</v>
      </c>
      <c r="C102" s="15">
        <v>1</v>
      </c>
      <c r="D102" s="131" t="s">
        <v>24</v>
      </c>
      <c r="E102" s="131">
        <v>368261</v>
      </c>
      <c r="F102" s="132">
        <v>45971</v>
      </c>
      <c r="G102" s="133">
        <v>45983</v>
      </c>
      <c r="H102" s="89" t="e">
        <f t="shared" ca="1" si="0"/>
        <v>#NAME?</v>
      </c>
      <c r="I102" s="137" t="s">
        <v>384</v>
      </c>
      <c r="J102" s="172">
        <v>362314</v>
      </c>
      <c r="K102" s="137" t="s">
        <v>225</v>
      </c>
      <c r="L102" s="171">
        <v>45849</v>
      </c>
      <c r="M102" s="134">
        <f t="shared" si="2"/>
        <v>-81</v>
      </c>
      <c r="N102" s="137"/>
      <c r="O102" s="137"/>
      <c r="P102" s="144"/>
      <c r="Q102" s="137"/>
      <c r="R102" s="156"/>
      <c r="S102" s="137"/>
      <c r="T102" s="15"/>
      <c r="U102" s="15"/>
      <c r="V102" s="52"/>
      <c r="W102" s="15"/>
      <c r="X102" s="102"/>
      <c r="Y102" s="102"/>
      <c r="Z102" s="102"/>
      <c r="AA102" s="102"/>
      <c r="AB102" s="103"/>
      <c r="AC102" s="103"/>
      <c r="AD102" s="103"/>
      <c r="AE102" s="100"/>
      <c r="AF102" s="100"/>
      <c r="AG102" s="104"/>
      <c r="AH102" s="104"/>
      <c r="AI102" s="104"/>
      <c r="AJ102" s="104"/>
      <c r="AK102" s="104"/>
      <c r="AL102" s="104"/>
      <c r="AM102" s="104"/>
      <c r="AN102" s="104"/>
      <c r="AO102" s="104"/>
      <c r="AP102" s="104"/>
      <c r="AQ102" s="104"/>
    </row>
    <row r="103" spans="1:43" ht="15.75" customHeight="1">
      <c r="A103" s="18" t="s">
        <v>218</v>
      </c>
      <c r="B103" s="15" t="s">
        <v>103</v>
      </c>
      <c r="C103" s="15">
        <v>1</v>
      </c>
      <c r="D103" s="131" t="s">
        <v>354</v>
      </c>
      <c r="E103" s="131">
        <v>234920</v>
      </c>
      <c r="F103" s="132">
        <v>45670</v>
      </c>
      <c r="G103" s="133">
        <v>45956</v>
      </c>
      <c r="H103" s="89" t="e">
        <f t="shared" ca="1" si="0"/>
        <v>#NAME?</v>
      </c>
      <c r="I103" s="143" t="s">
        <v>358</v>
      </c>
      <c r="J103" s="143">
        <v>363385</v>
      </c>
      <c r="K103" s="137" t="s">
        <v>225</v>
      </c>
      <c r="L103" s="149">
        <v>45880</v>
      </c>
      <c r="M103" s="134">
        <f t="shared" si="2"/>
        <v>-60</v>
      </c>
      <c r="N103" s="137"/>
      <c r="O103" s="137"/>
      <c r="P103" s="144"/>
      <c r="Q103" s="137"/>
      <c r="R103" s="173">
        <f t="shared" ref="R103:R146" si="3">$BGM$4-Q103</f>
        <v>0</v>
      </c>
      <c r="S103" s="137"/>
      <c r="T103" s="15"/>
      <c r="U103" s="15"/>
      <c r="V103" s="15"/>
      <c r="W103" s="15"/>
      <c r="X103" s="102"/>
      <c r="Y103" s="102"/>
      <c r="Z103" s="102"/>
      <c r="AA103" s="102"/>
      <c r="AB103" s="103"/>
      <c r="AC103" s="103"/>
      <c r="AD103" s="103"/>
      <c r="AE103" s="100"/>
      <c r="AF103" s="100"/>
      <c r="AG103" s="104"/>
      <c r="AH103" s="104"/>
      <c r="AI103" s="104"/>
      <c r="AJ103" s="104"/>
      <c r="AK103" s="104"/>
      <c r="AL103" s="104"/>
      <c r="AM103" s="104"/>
      <c r="AN103" s="104"/>
      <c r="AO103" s="104"/>
      <c r="AP103" s="104"/>
      <c r="AQ103" s="104"/>
    </row>
    <row r="104" spans="1:43" ht="15.75" customHeight="1">
      <c r="A104" s="18" t="s">
        <v>104</v>
      </c>
      <c r="B104" s="8" t="s">
        <v>105</v>
      </c>
      <c r="C104" s="15">
        <v>1</v>
      </c>
      <c r="D104" s="96" t="s">
        <v>385</v>
      </c>
      <c r="E104" s="96">
        <v>385222</v>
      </c>
      <c r="F104" s="97">
        <v>46004</v>
      </c>
      <c r="G104" s="98">
        <v>46009</v>
      </c>
      <c r="H104" s="89" t="e">
        <f t="shared" ca="1" si="0"/>
        <v>#NAME?</v>
      </c>
      <c r="I104" s="96" t="s">
        <v>175</v>
      </c>
      <c r="J104" s="96">
        <v>365426</v>
      </c>
      <c r="K104" s="97">
        <v>45965</v>
      </c>
      <c r="L104" s="98">
        <v>45972</v>
      </c>
      <c r="M104" s="5">
        <f t="shared" si="2"/>
        <v>6</v>
      </c>
      <c r="N104" s="34" t="s">
        <v>386</v>
      </c>
      <c r="O104" s="174">
        <v>377670</v>
      </c>
      <c r="P104" s="97">
        <v>45964</v>
      </c>
      <c r="Q104" s="98">
        <v>46001</v>
      </c>
      <c r="R104" s="89">
        <f t="shared" si="3"/>
        <v>-46001</v>
      </c>
      <c r="S104" s="6"/>
      <c r="T104" s="15"/>
      <c r="U104" s="52"/>
      <c r="V104" s="52"/>
      <c r="W104" s="5">
        <f t="shared" ref="W104:W105" si="4">$D$2-V104</f>
        <v>46004</v>
      </c>
      <c r="X104" s="102"/>
      <c r="Y104" s="102"/>
      <c r="Z104" s="102"/>
      <c r="AA104" s="102"/>
      <c r="AB104" s="103"/>
      <c r="AC104" s="103"/>
      <c r="AD104" s="103"/>
      <c r="AE104" s="100"/>
      <c r="AF104" s="100"/>
      <c r="AG104" s="104"/>
      <c r="AH104" s="104"/>
      <c r="AI104" s="104"/>
      <c r="AJ104" s="104"/>
      <c r="AK104" s="104"/>
      <c r="AL104" s="104"/>
      <c r="AM104" s="104"/>
      <c r="AN104" s="104"/>
      <c r="AO104" s="104"/>
      <c r="AP104" s="104"/>
      <c r="AQ104" s="104"/>
    </row>
    <row r="105" spans="1:43" ht="15.75" customHeight="1">
      <c r="A105" s="18" t="s">
        <v>104</v>
      </c>
      <c r="B105" s="11" t="s">
        <v>107</v>
      </c>
      <c r="C105" s="16">
        <v>1</v>
      </c>
      <c r="D105" s="96" t="s">
        <v>175</v>
      </c>
      <c r="E105" s="96">
        <v>365426</v>
      </c>
      <c r="F105" s="97">
        <v>45964</v>
      </c>
      <c r="G105" s="98">
        <v>45982</v>
      </c>
      <c r="H105" s="89" t="e">
        <f t="shared" ca="1" si="0"/>
        <v>#NAME?</v>
      </c>
      <c r="I105" s="96" t="s">
        <v>387</v>
      </c>
      <c r="J105" s="96">
        <v>385224</v>
      </c>
      <c r="K105" s="97">
        <v>46004</v>
      </c>
      <c r="L105" s="98">
        <v>46009</v>
      </c>
      <c r="M105" s="5">
        <f t="shared" si="2"/>
        <v>4</v>
      </c>
      <c r="N105" s="96" t="s">
        <v>388</v>
      </c>
      <c r="O105" s="96">
        <v>365388</v>
      </c>
      <c r="P105" s="97">
        <v>45965</v>
      </c>
      <c r="Q105" s="98">
        <v>45992</v>
      </c>
      <c r="R105" s="89">
        <f t="shared" si="3"/>
        <v>-45992</v>
      </c>
      <c r="S105" s="96" t="s">
        <v>389</v>
      </c>
      <c r="T105" s="35">
        <v>370602</v>
      </c>
      <c r="U105" s="96" t="s">
        <v>222</v>
      </c>
      <c r="V105" s="38" t="s">
        <v>390</v>
      </c>
      <c r="W105" s="5">
        <f t="shared" si="4"/>
        <v>26</v>
      </c>
      <c r="X105" s="102"/>
      <c r="Y105" s="102"/>
      <c r="Z105" s="102"/>
      <c r="AA105" s="102"/>
      <c r="AB105" s="103"/>
      <c r="AC105" s="103"/>
      <c r="AD105" s="103"/>
      <c r="AE105" s="100"/>
      <c r="AF105" s="100"/>
      <c r="AG105" s="104"/>
      <c r="AH105" s="104"/>
      <c r="AI105" s="104"/>
      <c r="AJ105" s="104"/>
      <c r="AK105" s="104"/>
      <c r="AL105" s="104"/>
      <c r="AM105" s="104"/>
      <c r="AN105" s="104"/>
      <c r="AO105" s="104"/>
      <c r="AP105" s="104"/>
      <c r="AQ105" s="104"/>
    </row>
    <row r="106" spans="1:43" ht="15.75" customHeight="1">
      <c r="A106" s="18" t="s">
        <v>104</v>
      </c>
      <c r="B106" s="11" t="s">
        <v>107</v>
      </c>
      <c r="C106" s="16">
        <v>1</v>
      </c>
      <c r="D106" s="96" t="s">
        <v>227</v>
      </c>
      <c r="E106" s="96">
        <v>366876</v>
      </c>
      <c r="F106" s="97">
        <v>45967</v>
      </c>
      <c r="G106" s="98">
        <v>45971</v>
      </c>
      <c r="H106" s="89" t="e">
        <f t="shared" ca="1" si="0"/>
        <v>#NAME?</v>
      </c>
      <c r="I106" s="96" t="s">
        <v>391</v>
      </c>
      <c r="J106" s="96">
        <v>373734</v>
      </c>
      <c r="K106" s="97">
        <v>45980</v>
      </c>
      <c r="L106" s="175">
        <v>45992</v>
      </c>
      <c r="M106" s="5">
        <f t="shared" si="2"/>
        <v>9</v>
      </c>
      <c r="N106" s="34" t="s">
        <v>350</v>
      </c>
      <c r="O106" s="174">
        <v>380444</v>
      </c>
      <c r="P106" s="98">
        <v>45993</v>
      </c>
      <c r="Q106" s="176">
        <v>45996</v>
      </c>
      <c r="R106" s="89">
        <f t="shared" si="3"/>
        <v>-45996</v>
      </c>
      <c r="S106" s="34"/>
      <c r="T106" s="174"/>
      <c r="U106" s="98"/>
      <c r="V106" s="15"/>
      <c r="W106" s="5"/>
      <c r="X106" s="102"/>
      <c r="Y106" s="102"/>
      <c r="Z106" s="102"/>
      <c r="AA106" s="102"/>
      <c r="AB106" s="103"/>
      <c r="AC106" s="103"/>
      <c r="AD106" s="103"/>
      <c r="AE106" s="100"/>
      <c r="AF106" s="100"/>
      <c r="AG106" s="104"/>
      <c r="AH106" s="104"/>
      <c r="AI106" s="104"/>
      <c r="AJ106" s="104"/>
      <c r="AK106" s="104"/>
      <c r="AL106" s="104"/>
      <c r="AM106" s="104"/>
      <c r="AN106" s="104"/>
      <c r="AO106" s="104"/>
      <c r="AP106" s="104"/>
      <c r="AQ106" s="104"/>
    </row>
    <row r="107" spans="1:43" ht="15.75" customHeight="1">
      <c r="A107" s="18" t="s">
        <v>104</v>
      </c>
      <c r="B107" s="8" t="s">
        <v>230</v>
      </c>
      <c r="C107" s="15">
        <v>1</v>
      </c>
      <c r="D107" s="96" t="s">
        <v>387</v>
      </c>
      <c r="E107" s="96">
        <v>385224</v>
      </c>
      <c r="F107" s="97">
        <v>46004</v>
      </c>
      <c r="G107" s="98">
        <v>46009</v>
      </c>
      <c r="H107" s="89" t="e">
        <f t="shared" ca="1" si="0"/>
        <v>#NAME?</v>
      </c>
      <c r="I107" s="96" t="s">
        <v>227</v>
      </c>
      <c r="J107" s="96">
        <v>366876</v>
      </c>
      <c r="K107" s="97">
        <v>45967</v>
      </c>
      <c r="L107" s="98">
        <v>45971</v>
      </c>
      <c r="M107" s="5">
        <f t="shared" si="2"/>
        <v>3</v>
      </c>
      <c r="N107" s="96" t="s">
        <v>388</v>
      </c>
      <c r="O107" s="96">
        <v>365388</v>
      </c>
      <c r="P107" s="97">
        <v>45965</v>
      </c>
      <c r="Q107" s="98">
        <v>45992</v>
      </c>
      <c r="R107" s="89">
        <f t="shared" si="3"/>
        <v>-45992</v>
      </c>
      <c r="S107" s="96" t="s">
        <v>391</v>
      </c>
      <c r="T107" s="96">
        <v>373734</v>
      </c>
      <c r="U107" s="97">
        <v>45980</v>
      </c>
      <c r="V107" s="98">
        <v>45992</v>
      </c>
      <c r="W107" s="5">
        <f t="shared" ref="W107:W108" si="5">$D$2-V107</f>
        <v>12</v>
      </c>
      <c r="X107" s="96" t="s">
        <v>389</v>
      </c>
      <c r="Y107" s="35">
        <v>370602</v>
      </c>
      <c r="Z107" s="96" t="s">
        <v>222</v>
      </c>
      <c r="AA107" s="38" t="s">
        <v>390</v>
      </c>
      <c r="AB107" s="5"/>
      <c r="AC107" s="34" t="s">
        <v>350</v>
      </c>
      <c r="AD107" s="174">
        <v>380444</v>
      </c>
      <c r="AE107" s="98">
        <v>45993</v>
      </c>
      <c r="AF107" s="100"/>
      <c r="AG107" s="104"/>
      <c r="AH107" s="104"/>
      <c r="AI107" s="104"/>
      <c r="AJ107" s="104"/>
      <c r="AK107" s="104"/>
      <c r="AL107" s="104"/>
      <c r="AM107" s="104"/>
      <c r="AN107" s="104"/>
      <c r="AO107" s="104"/>
      <c r="AP107" s="104"/>
      <c r="AQ107" s="104"/>
    </row>
    <row r="108" spans="1:43" ht="15.75" customHeight="1">
      <c r="A108" s="18" t="s">
        <v>104</v>
      </c>
      <c r="B108" s="5" t="s">
        <v>110</v>
      </c>
      <c r="C108" s="15">
        <v>1</v>
      </c>
      <c r="D108" s="96" t="s">
        <v>392</v>
      </c>
      <c r="E108" s="96">
        <v>371373</v>
      </c>
      <c r="F108" s="97">
        <v>45993</v>
      </c>
      <c r="G108" s="98">
        <v>45995</v>
      </c>
      <c r="H108" s="89" t="e">
        <f t="shared" ca="1" si="0"/>
        <v>#NAME?</v>
      </c>
      <c r="I108" s="34" t="s">
        <v>391</v>
      </c>
      <c r="J108" s="177">
        <v>389323</v>
      </c>
      <c r="K108" s="96" t="s">
        <v>393</v>
      </c>
      <c r="L108" s="38" t="s">
        <v>394</v>
      </c>
      <c r="M108" s="5">
        <f t="shared" si="2"/>
        <v>5</v>
      </c>
      <c r="N108" s="13"/>
      <c r="O108" s="13"/>
      <c r="P108" s="178"/>
      <c r="Q108" s="178"/>
      <c r="R108" s="89">
        <f t="shared" si="3"/>
        <v>0</v>
      </c>
      <c r="S108" s="13"/>
      <c r="T108" s="13"/>
      <c r="U108" s="176"/>
      <c r="V108" s="176"/>
      <c r="W108" s="5">
        <f t="shared" si="5"/>
        <v>46004</v>
      </c>
      <c r="X108" s="102"/>
      <c r="Y108" s="102"/>
      <c r="Z108" s="102"/>
      <c r="AA108" s="102"/>
      <c r="AB108" s="103"/>
      <c r="AC108" s="103"/>
      <c r="AD108" s="103"/>
      <c r="AE108" s="100"/>
      <c r="AF108" s="100"/>
      <c r="AG108" s="104"/>
      <c r="AH108" s="104"/>
      <c r="AI108" s="104"/>
      <c r="AJ108" s="104"/>
      <c r="AK108" s="104"/>
      <c r="AL108" s="104"/>
      <c r="AM108" s="104"/>
      <c r="AN108" s="104"/>
      <c r="AO108" s="104"/>
      <c r="AP108" s="104"/>
      <c r="AQ108" s="104"/>
    </row>
    <row r="109" spans="1:43" ht="15.75" customHeight="1">
      <c r="A109" s="18" t="s">
        <v>104</v>
      </c>
      <c r="B109" s="5" t="s">
        <v>112</v>
      </c>
      <c r="C109" s="15">
        <v>1</v>
      </c>
      <c r="D109" s="96" t="s">
        <v>395</v>
      </c>
      <c r="E109" s="96">
        <v>377670</v>
      </c>
      <c r="F109" s="97">
        <v>45990</v>
      </c>
      <c r="G109" s="98">
        <v>45993</v>
      </c>
      <c r="H109" s="89" t="e">
        <f t="shared" ca="1" si="0"/>
        <v>#NAME?</v>
      </c>
      <c r="I109" s="34" t="s">
        <v>386</v>
      </c>
      <c r="J109" s="174">
        <v>377670</v>
      </c>
      <c r="K109" s="97">
        <v>45964</v>
      </c>
      <c r="L109" s="97">
        <v>45988</v>
      </c>
      <c r="M109" s="5">
        <f t="shared" si="2"/>
        <v>19</v>
      </c>
      <c r="N109" s="96" t="s">
        <v>396</v>
      </c>
      <c r="O109" s="96">
        <v>380452</v>
      </c>
      <c r="P109" s="97">
        <v>45993</v>
      </c>
      <c r="Q109" s="98">
        <v>46013</v>
      </c>
      <c r="R109" s="89">
        <f t="shared" si="3"/>
        <v>-46013</v>
      </c>
      <c r="S109" s="96" t="s">
        <v>392</v>
      </c>
      <c r="T109" s="96">
        <v>371373</v>
      </c>
      <c r="U109" s="97">
        <v>45993</v>
      </c>
      <c r="V109" s="98">
        <v>45995</v>
      </c>
      <c r="W109" s="89" t="e">
        <f ca="1">_xludf.DAYS(V109,U109)</f>
        <v>#NAME?</v>
      </c>
      <c r="X109" s="102"/>
      <c r="Y109" s="102"/>
      <c r="Z109" s="102"/>
      <c r="AA109" s="102"/>
      <c r="AB109" s="103"/>
      <c r="AC109" s="103"/>
      <c r="AD109" s="103"/>
      <c r="AE109" s="100"/>
      <c r="AF109" s="100"/>
      <c r="AG109" s="104"/>
      <c r="AH109" s="104"/>
      <c r="AI109" s="104"/>
      <c r="AJ109" s="104"/>
      <c r="AK109" s="104"/>
      <c r="AL109" s="104"/>
      <c r="AM109" s="104"/>
      <c r="AN109" s="104"/>
      <c r="AO109" s="104"/>
      <c r="AP109" s="104"/>
      <c r="AQ109" s="104"/>
    </row>
    <row r="110" spans="1:43" ht="15.75" customHeight="1">
      <c r="A110" s="18" t="s">
        <v>104</v>
      </c>
      <c r="B110" s="5" t="s">
        <v>114</v>
      </c>
      <c r="C110" s="15">
        <v>1</v>
      </c>
      <c r="D110" s="96" t="s">
        <v>396</v>
      </c>
      <c r="E110" s="96">
        <v>380452</v>
      </c>
      <c r="F110" s="97">
        <v>45993</v>
      </c>
      <c r="G110" s="98">
        <v>45994</v>
      </c>
      <c r="H110" s="89" t="e">
        <f t="shared" ca="1" si="0"/>
        <v>#NAME?</v>
      </c>
      <c r="I110" s="34" t="s">
        <v>386</v>
      </c>
      <c r="J110" s="174">
        <v>377670</v>
      </c>
      <c r="K110" s="97">
        <v>45964</v>
      </c>
      <c r="L110" s="98">
        <v>45971</v>
      </c>
      <c r="M110" s="5">
        <f t="shared" si="2"/>
        <v>6</v>
      </c>
      <c r="N110" s="13"/>
      <c r="O110" s="13"/>
      <c r="P110" s="178"/>
      <c r="Q110" s="178"/>
      <c r="R110" s="89">
        <f t="shared" si="3"/>
        <v>0</v>
      </c>
      <c r="S110" s="7"/>
      <c r="T110" s="15"/>
      <c r="U110" s="15"/>
      <c r="V110" s="15"/>
      <c r="W110" s="5"/>
      <c r="X110" s="102"/>
      <c r="Y110" s="102"/>
      <c r="Z110" s="102"/>
      <c r="AA110" s="102"/>
      <c r="AB110" s="103"/>
      <c r="AC110" s="103"/>
      <c r="AD110" s="103"/>
      <c r="AE110" s="100"/>
      <c r="AF110" s="100"/>
      <c r="AG110" s="104"/>
      <c r="AH110" s="104"/>
      <c r="AI110" s="104"/>
      <c r="AJ110" s="104"/>
      <c r="AK110" s="104"/>
      <c r="AL110" s="104"/>
      <c r="AM110" s="104"/>
      <c r="AN110" s="104"/>
      <c r="AO110" s="104"/>
      <c r="AP110" s="104"/>
      <c r="AQ110" s="104"/>
    </row>
    <row r="111" spans="1:43" ht="15.75" customHeight="1">
      <c r="A111" s="18" t="s">
        <v>104</v>
      </c>
      <c r="B111" s="8" t="s">
        <v>116</v>
      </c>
      <c r="C111" s="15">
        <v>1</v>
      </c>
      <c r="D111" s="96" t="s">
        <v>397</v>
      </c>
      <c r="E111" s="96">
        <v>385237</v>
      </c>
      <c r="F111" s="97">
        <v>46004</v>
      </c>
      <c r="G111" s="98">
        <v>46009</v>
      </c>
      <c r="H111" s="89" t="e">
        <f t="shared" ca="1" si="0"/>
        <v>#NAME?</v>
      </c>
      <c r="I111" s="96" t="s">
        <v>227</v>
      </c>
      <c r="J111" s="96">
        <v>366876</v>
      </c>
      <c r="K111" s="97">
        <v>45967</v>
      </c>
      <c r="L111" s="98">
        <v>45971</v>
      </c>
      <c r="M111" s="89" t="e">
        <f ca="1">_xludf.DAYS(L111,K111)</f>
        <v>#NAME?</v>
      </c>
      <c r="N111" s="13"/>
      <c r="O111" s="13"/>
      <c r="P111" s="178"/>
      <c r="Q111" s="178"/>
      <c r="R111" s="89">
        <f t="shared" si="3"/>
        <v>0</v>
      </c>
      <c r="S111" s="6"/>
      <c r="T111" s="15"/>
      <c r="U111" s="88"/>
      <c r="V111" s="15"/>
      <c r="W111" s="5"/>
      <c r="X111" s="102"/>
      <c r="Y111" s="102"/>
      <c r="Z111" s="102"/>
      <c r="AA111" s="102"/>
      <c r="AB111" s="103"/>
      <c r="AC111" s="103"/>
      <c r="AD111" s="103"/>
      <c r="AE111" s="100"/>
      <c r="AF111" s="100"/>
      <c r="AG111" s="104"/>
      <c r="AH111" s="104"/>
      <c r="AI111" s="104"/>
      <c r="AJ111" s="104"/>
      <c r="AK111" s="104"/>
      <c r="AL111" s="104"/>
      <c r="AM111" s="104"/>
      <c r="AN111" s="104"/>
      <c r="AO111" s="104"/>
      <c r="AP111" s="104"/>
      <c r="AQ111" s="104"/>
    </row>
    <row r="112" spans="1:43" ht="15.75" customHeight="1">
      <c r="A112" s="18" t="s">
        <v>104</v>
      </c>
      <c r="B112" s="5" t="s">
        <v>117</v>
      </c>
      <c r="C112" s="15">
        <v>1</v>
      </c>
      <c r="D112" s="96" t="s">
        <v>86</v>
      </c>
      <c r="E112" s="96">
        <v>380709</v>
      </c>
      <c r="F112" s="97">
        <v>45995</v>
      </c>
      <c r="G112" s="98">
        <v>46015</v>
      </c>
      <c r="H112" s="89" t="e">
        <f t="shared" ca="1" si="0"/>
        <v>#NAME?</v>
      </c>
      <c r="I112" s="96" t="s">
        <v>395</v>
      </c>
      <c r="J112" s="96">
        <v>377670</v>
      </c>
      <c r="K112" s="97">
        <v>45990</v>
      </c>
      <c r="L112" s="98">
        <v>45999</v>
      </c>
      <c r="M112" s="5">
        <f t="shared" ref="M112:M124" si="6">NETWORKDAYS(K112,L112)</f>
        <v>6</v>
      </c>
      <c r="N112" s="13"/>
      <c r="O112" s="13"/>
      <c r="P112" s="178"/>
      <c r="Q112" s="13"/>
      <c r="R112" s="89">
        <f t="shared" si="3"/>
        <v>0</v>
      </c>
      <c r="S112" s="70"/>
      <c r="T112" s="179"/>
      <c r="U112" s="73"/>
      <c r="V112" s="35"/>
      <c r="W112" s="5"/>
      <c r="X112" s="102"/>
      <c r="Y112" s="102"/>
      <c r="Z112" s="102"/>
      <c r="AA112" s="102"/>
      <c r="AB112" s="103"/>
      <c r="AC112" s="103"/>
      <c r="AD112" s="103"/>
      <c r="AE112" s="100"/>
      <c r="AF112" s="100"/>
      <c r="AG112" s="104"/>
      <c r="AH112" s="104"/>
      <c r="AI112" s="104"/>
      <c r="AJ112" s="104"/>
      <c r="AK112" s="104"/>
      <c r="AL112" s="104"/>
      <c r="AM112" s="104"/>
      <c r="AN112" s="104"/>
      <c r="AO112" s="104"/>
      <c r="AP112" s="104"/>
      <c r="AQ112" s="104"/>
    </row>
    <row r="113" spans="1:43" ht="15.75" customHeight="1">
      <c r="A113" s="18" t="s">
        <v>104</v>
      </c>
      <c r="B113" s="5" t="s">
        <v>119</v>
      </c>
      <c r="C113" s="15">
        <v>1</v>
      </c>
      <c r="D113" s="96" t="s">
        <v>350</v>
      </c>
      <c r="E113" s="174">
        <v>380444</v>
      </c>
      <c r="F113" s="97">
        <v>45994</v>
      </c>
      <c r="G113" s="98">
        <v>46002</v>
      </c>
      <c r="H113" s="89" t="e">
        <f t="shared" ca="1" si="0"/>
        <v>#NAME?</v>
      </c>
      <c r="I113" s="34" t="s">
        <v>350</v>
      </c>
      <c r="J113" s="174">
        <v>380444</v>
      </c>
      <c r="K113" s="98">
        <v>45993</v>
      </c>
      <c r="L113" s="98"/>
      <c r="M113" s="5">
        <f t="shared" si="6"/>
        <v>-32852</v>
      </c>
      <c r="N113" s="13"/>
      <c r="O113" s="13"/>
      <c r="P113" s="178"/>
      <c r="Q113" s="13"/>
      <c r="R113" s="89">
        <f t="shared" si="3"/>
        <v>0</v>
      </c>
      <c r="S113" s="124"/>
      <c r="T113" s="35"/>
      <c r="U113" s="180"/>
      <c r="V113" s="66"/>
      <c r="W113" s="5">
        <f t="shared" ref="W113:W114" si="7">$D$2-V113</f>
        <v>46004</v>
      </c>
      <c r="X113" s="102"/>
      <c r="Y113" s="102"/>
      <c r="Z113" s="102"/>
      <c r="AA113" s="102"/>
      <c r="AB113" s="103"/>
      <c r="AC113" s="103"/>
      <c r="AD113" s="103"/>
      <c r="AE113" s="100"/>
      <c r="AF113" s="100"/>
      <c r="AG113" s="104"/>
      <c r="AH113" s="104"/>
      <c r="AI113" s="104"/>
      <c r="AJ113" s="104"/>
      <c r="AK113" s="104"/>
      <c r="AL113" s="104"/>
      <c r="AM113" s="104"/>
      <c r="AN113" s="104"/>
      <c r="AO113" s="104"/>
      <c r="AP113" s="104"/>
      <c r="AQ113" s="104"/>
    </row>
    <row r="114" spans="1:43" ht="15.75" customHeight="1">
      <c r="A114" s="18" t="s">
        <v>104</v>
      </c>
      <c r="B114" s="5" t="s">
        <v>120</v>
      </c>
      <c r="C114" s="15">
        <v>1</v>
      </c>
      <c r="D114" s="96" t="s">
        <v>398</v>
      </c>
      <c r="E114" s="96">
        <v>365428</v>
      </c>
      <c r="F114" s="97">
        <v>45965</v>
      </c>
      <c r="G114" s="98">
        <v>45971</v>
      </c>
      <c r="H114" s="89" t="e">
        <f t="shared" ca="1" si="0"/>
        <v>#NAME?</v>
      </c>
      <c r="I114" s="13" t="s">
        <v>73</v>
      </c>
      <c r="J114" s="174">
        <v>366880</v>
      </c>
      <c r="K114" s="178">
        <v>45819</v>
      </c>
      <c r="L114" s="98">
        <v>46004</v>
      </c>
      <c r="M114" s="5">
        <f t="shared" si="6"/>
        <v>133</v>
      </c>
      <c r="N114" s="13"/>
      <c r="O114" s="13"/>
      <c r="P114" s="178"/>
      <c r="Q114" s="178"/>
      <c r="R114" s="89">
        <f t="shared" si="3"/>
        <v>0</v>
      </c>
      <c r="S114" s="70"/>
      <c r="T114" s="70"/>
      <c r="U114" s="73"/>
      <c r="V114" s="73"/>
      <c r="W114" s="5">
        <f t="shared" si="7"/>
        <v>46004</v>
      </c>
      <c r="X114" s="102"/>
      <c r="Y114" s="102"/>
      <c r="Z114" s="102"/>
      <c r="AA114" s="102"/>
      <c r="AB114" s="103"/>
      <c r="AC114" s="103"/>
      <c r="AD114" s="103"/>
      <c r="AE114" s="100"/>
      <c r="AF114" s="100"/>
      <c r="AG114" s="104"/>
      <c r="AH114" s="104"/>
      <c r="AI114" s="104"/>
      <c r="AJ114" s="104"/>
      <c r="AK114" s="104"/>
      <c r="AL114" s="104"/>
      <c r="AM114" s="104"/>
      <c r="AN114" s="104"/>
      <c r="AO114" s="104"/>
      <c r="AP114" s="104"/>
      <c r="AQ114" s="104"/>
    </row>
    <row r="115" spans="1:43" ht="15.75" customHeight="1">
      <c r="A115" s="18" t="s">
        <v>104</v>
      </c>
      <c r="B115" s="5" t="s">
        <v>121</v>
      </c>
      <c r="C115" s="15">
        <v>1</v>
      </c>
      <c r="D115" s="96" t="s">
        <v>399</v>
      </c>
      <c r="E115" s="174">
        <v>369170</v>
      </c>
      <c r="F115" s="97">
        <v>45972</v>
      </c>
      <c r="G115" s="98">
        <v>46014</v>
      </c>
      <c r="H115" s="89" t="e">
        <f t="shared" ca="1" si="0"/>
        <v>#NAME?</v>
      </c>
      <c r="I115" s="96" t="s">
        <v>391</v>
      </c>
      <c r="J115" s="96">
        <v>373734</v>
      </c>
      <c r="K115" s="97">
        <v>45980</v>
      </c>
      <c r="L115" s="38" t="s">
        <v>400</v>
      </c>
      <c r="M115" s="5">
        <f t="shared" si="6"/>
        <v>3</v>
      </c>
      <c r="N115" s="13"/>
      <c r="O115" s="13"/>
      <c r="P115" s="178"/>
      <c r="Q115" s="178"/>
      <c r="R115" s="89">
        <f t="shared" si="3"/>
        <v>0</v>
      </c>
      <c r="S115" s="70"/>
      <c r="T115" s="70"/>
      <c r="U115" s="73"/>
      <c r="V115" s="70"/>
      <c r="W115" s="5"/>
      <c r="X115" s="102"/>
      <c r="Y115" s="102"/>
      <c r="Z115" s="102"/>
      <c r="AA115" s="102"/>
      <c r="AB115" s="103"/>
      <c r="AC115" s="103"/>
      <c r="AD115" s="103"/>
      <c r="AE115" s="100"/>
      <c r="AF115" s="100"/>
      <c r="AG115" s="104"/>
      <c r="AH115" s="104"/>
      <c r="AI115" s="104"/>
      <c r="AJ115" s="104"/>
      <c r="AK115" s="104"/>
      <c r="AL115" s="104"/>
      <c r="AM115" s="104"/>
      <c r="AN115" s="104"/>
      <c r="AO115" s="104"/>
      <c r="AP115" s="104"/>
      <c r="AQ115" s="104"/>
    </row>
    <row r="116" spans="1:43" ht="15.75" customHeight="1">
      <c r="A116" s="18" t="s">
        <v>104</v>
      </c>
      <c r="B116" s="5" t="s">
        <v>123</v>
      </c>
      <c r="C116" s="15">
        <v>1</v>
      </c>
      <c r="D116" s="96" t="s">
        <v>401</v>
      </c>
      <c r="E116" s="96">
        <v>381512</v>
      </c>
      <c r="F116" s="97">
        <v>45996</v>
      </c>
      <c r="G116" s="98">
        <v>46001</v>
      </c>
      <c r="H116" s="89" t="e">
        <f t="shared" ca="1" si="0"/>
        <v>#NAME?</v>
      </c>
      <c r="I116" s="96" t="s">
        <v>391</v>
      </c>
      <c r="J116" s="96">
        <v>373734</v>
      </c>
      <c r="K116" s="97">
        <v>45980</v>
      </c>
      <c r="L116" s="175">
        <v>45993</v>
      </c>
      <c r="M116" s="5">
        <f t="shared" si="6"/>
        <v>10</v>
      </c>
      <c r="N116" s="96" t="s">
        <v>86</v>
      </c>
      <c r="O116" s="96">
        <v>380709</v>
      </c>
      <c r="P116" s="97">
        <v>45995</v>
      </c>
      <c r="Q116" s="98">
        <v>45996</v>
      </c>
      <c r="R116" s="89">
        <f t="shared" si="3"/>
        <v>-45996</v>
      </c>
      <c r="S116" s="70"/>
      <c r="T116" s="70"/>
      <c r="U116" s="73"/>
      <c r="V116" s="73"/>
      <c r="W116" s="5">
        <f>$D$2-V116</f>
        <v>46004</v>
      </c>
      <c r="X116" s="102"/>
      <c r="Y116" s="102"/>
      <c r="Z116" s="102"/>
      <c r="AA116" s="102"/>
      <c r="AB116" s="103"/>
      <c r="AC116" s="103"/>
      <c r="AD116" s="103"/>
      <c r="AE116" s="100"/>
      <c r="AF116" s="100"/>
      <c r="AG116" s="104"/>
      <c r="AH116" s="104"/>
      <c r="AI116" s="104"/>
      <c r="AJ116" s="104"/>
      <c r="AK116" s="104"/>
      <c r="AL116" s="104"/>
      <c r="AM116" s="104"/>
      <c r="AN116" s="104"/>
      <c r="AO116" s="104"/>
      <c r="AP116" s="104"/>
      <c r="AQ116" s="104"/>
    </row>
    <row r="117" spans="1:43" ht="15.75" customHeight="1">
      <c r="A117" s="18" t="s">
        <v>104</v>
      </c>
      <c r="B117" s="8" t="s">
        <v>125</v>
      </c>
      <c r="C117" s="15">
        <v>1</v>
      </c>
      <c r="D117" s="96" t="s">
        <v>386</v>
      </c>
      <c r="E117" s="174">
        <v>364475</v>
      </c>
      <c r="F117" s="97">
        <v>45964</v>
      </c>
      <c r="G117" s="98">
        <v>45995</v>
      </c>
      <c r="H117" s="89" t="e">
        <f t="shared" ca="1" si="0"/>
        <v>#NAME?</v>
      </c>
      <c r="I117" s="96" t="s">
        <v>220</v>
      </c>
      <c r="J117" s="96">
        <v>364402</v>
      </c>
      <c r="K117" s="97">
        <v>45964</v>
      </c>
      <c r="L117" s="98"/>
      <c r="M117" s="5">
        <f t="shared" si="6"/>
        <v>-32831</v>
      </c>
      <c r="N117" s="96" t="s">
        <v>389</v>
      </c>
      <c r="O117" s="35">
        <v>370602</v>
      </c>
      <c r="P117" s="96" t="s">
        <v>222</v>
      </c>
      <c r="Q117" s="38" t="s">
        <v>390</v>
      </c>
      <c r="R117" s="89">
        <f t="shared" si="3"/>
        <v>-45978</v>
      </c>
      <c r="S117" s="70"/>
      <c r="T117" s="70"/>
      <c r="U117" s="73"/>
      <c r="V117" s="70"/>
      <c r="W117" s="5"/>
      <c r="X117" s="70"/>
      <c r="Y117" s="70"/>
      <c r="Z117" s="51"/>
      <c r="AA117" s="51"/>
      <c r="AB117" s="103"/>
      <c r="AC117" s="103"/>
      <c r="AD117" s="103"/>
      <c r="AE117" s="100"/>
      <c r="AF117" s="100"/>
      <c r="AG117" s="104"/>
      <c r="AH117" s="104"/>
      <c r="AI117" s="104"/>
      <c r="AJ117" s="104"/>
      <c r="AK117" s="104"/>
      <c r="AL117" s="104"/>
      <c r="AM117" s="104"/>
      <c r="AN117" s="104"/>
      <c r="AO117" s="104"/>
      <c r="AP117" s="104"/>
      <c r="AQ117" s="104"/>
    </row>
    <row r="118" spans="1:43" ht="15.75" customHeight="1">
      <c r="A118" s="18" t="s">
        <v>104</v>
      </c>
      <c r="B118" s="5" t="s">
        <v>127</v>
      </c>
      <c r="C118" s="15">
        <v>1</v>
      </c>
      <c r="D118" s="96" t="s">
        <v>402</v>
      </c>
      <c r="E118" s="96">
        <v>379604</v>
      </c>
      <c r="F118" s="97">
        <v>45992</v>
      </c>
      <c r="G118" s="98">
        <v>45993</v>
      </c>
      <c r="H118" s="89" t="e">
        <f t="shared" ca="1" si="0"/>
        <v>#NAME?</v>
      </c>
      <c r="I118" s="96" t="s">
        <v>403</v>
      </c>
      <c r="J118" s="96">
        <v>365414</v>
      </c>
      <c r="K118" s="97">
        <v>45965</v>
      </c>
      <c r="L118" s="98">
        <v>46007</v>
      </c>
      <c r="M118" s="5">
        <f t="shared" si="6"/>
        <v>31</v>
      </c>
      <c r="N118" s="96" t="s">
        <v>404</v>
      </c>
      <c r="O118" s="96">
        <v>364459</v>
      </c>
      <c r="P118" s="97">
        <v>45964</v>
      </c>
      <c r="Q118" s="98">
        <v>46010</v>
      </c>
      <c r="R118" s="89">
        <f t="shared" si="3"/>
        <v>-46010</v>
      </c>
      <c r="S118" s="70"/>
      <c r="T118" s="70"/>
      <c r="U118" s="73"/>
      <c r="V118" s="73"/>
      <c r="W118" s="5">
        <f>$D$2-V118</f>
        <v>46004</v>
      </c>
      <c r="X118" s="102"/>
      <c r="Y118" s="102"/>
      <c r="Z118" s="102"/>
      <c r="AA118" s="102"/>
      <c r="AB118" s="103"/>
      <c r="AC118" s="103"/>
      <c r="AD118" s="103"/>
      <c r="AE118" s="100"/>
      <c r="AF118" s="100"/>
      <c r="AG118" s="104"/>
      <c r="AH118" s="104"/>
      <c r="AI118" s="104"/>
      <c r="AJ118" s="104"/>
      <c r="AK118" s="104"/>
      <c r="AL118" s="104"/>
      <c r="AM118" s="104"/>
      <c r="AN118" s="104"/>
      <c r="AO118" s="104"/>
      <c r="AP118" s="104"/>
      <c r="AQ118" s="104"/>
    </row>
    <row r="119" spans="1:43" ht="15.75" customHeight="1">
      <c r="A119" s="18" t="s">
        <v>104</v>
      </c>
      <c r="B119" s="5" t="s">
        <v>128</v>
      </c>
      <c r="C119" s="15">
        <v>1</v>
      </c>
      <c r="D119" s="96" t="s">
        <v>403</v>
      </c>
      <c r="E119" s="96">
        <v>365414</v>
      </c>
      <c r="F119" s="97">
        <v>45965</v>
      </c>
      <c r="G119" s="98">
        <v>45971</v>
      </c>
      <c r="H119" s="89" t="e">
        <f t="shared" ca="1" si="0"/>
        <v>#NAME?</v>
      </c>
      <c r="I119" s="96" t="s">
        <v>402</v>
      </c>
      <c r="J119" s="96">
        <v>379604</v>
      </c>
      <c r="K119" s="97">
        <v>45992</v>
      </c>
      <c r="L119" s="98">
        <v>46007</v>
      </c>
      <c r="M119" s="5">
        <f t="shared" si="6"/>
        <v>12</v>
      </c>
      <c r="N119" s="13"/>
      <c r="O119" s="13"/>
      <c r="P119" s="178"/>
      <c r="Q119" s="178"/>
      <c r="R119" s="89">
        <f t="shared" si="3"/>
        <v>0</v>
      </c>
      <c r="S119" s="70"/>
      <c r="T119" s="70"/>
      <c r="U119" s="70"/>
      <c r="V119" s="70"/>
      <c r="W119" s="5"/>
      <c r="X119" s="102"/>
      <c r="Y119" s="102"/>
      <c r="Z119" s="102"/>
      <c r="AA119" s="102"/>
      <c r="AB119" s="103"/>
      <c r="AC119" s="103"/>
      <c r="AD119" s="103"/>
      <c r="AE119" s="100"/>
      <c r="AF119" s="100"/>
      <c r="AG119" s="104"/>
      <c r="AH119" s="104"/>
      <c r="AI119" s="104"/>
      <c r="AJ119" s="104"/>
      <c r="AK119" s="104"/>
      <c r="AL119" s="104"/>
      <c r="AM119" s="104"/>
      <c r="AN119" s="104"/>
      <c r="AO119" s="104"/>
      <c r="AP119" s="104"/>
      <c r="AQ119" s="104"/>
    </row>
    <row r="120" spans="1:43" ht="15.75" customHeight="1">
      <c r="A120" s="18" t="s">
        <v>104</v>
      </c>
      <c r="B120" s="5" t="s">
        <v>130</v>
      </c>
      <c r="C120" s="15">
        <v>1</v>
      </c>
      <c r="D120" s="96" t="s">
        <v>404</v>
      </c>
      <c r="E120" s="96">
        <v>364459</v>
      </c>
      <c r="F120" s="97">
        <v>45964</v>
      </c>
      <c r="G120" s="98">
        <v>45971</v>
      </c>
      <c r="H120" s="89" t="e">
        <f t="shared" ca="1" si="0"/>
        <v>#NAME?</v>
      </c>
      <c r="I120" s="96" t="s">
        <v>401</v>
      </c>
      <c r="J120" s="96">
        <v>381512</v>
      </c>
      <c r="K120" s="97">
        <v>45996</v>
      </c>
      <c r="L120" s="98">
        <v>46008</v>
      </c>
      <c r="M120" s="5">
        <f t="shared" si="6"/>
        <v>9</v>
      </c>
      <c r="N120" s="13"/>
      <c r="O120" s="13"/>
      <c r="P120" s="178"/>
      <c r="Q120" s="13"/>
      <c r="R120" s="89">
        <f t="shared" si="3"/>
        <v>0</v>
      </c>
      <c r="S120" s="6"/>
      <c r="T120" s="15"/>
      <c r="U120" s="52"/>
      <c r="V120" s="15"/>
      <c r="W120" s="5"/>
      <c r="X120" s="70"/>
      <c r="Y120" s="70"/>
      <c r="Z120" s="73"/>
      <c r="AA120" s="51"/>
      <c r="AB120" s="103"/>
      <c r="AC120" s="103"/>
      <c r="AD120" s="103"/>
      <c r="AE120" s="100"/>
      <c r="AF120" s="100"/>
      <c r="AG120" s="104"/>
      <c r="AH120" s="104"/>
      <c r="AI120" s="104"/>
      <c r="AJ120" s="104"/>
      <c r="AK120" s="104"/>
      <c r="AL120" s="104"/>
      <c r="AM120" s="104"/>
      <c r="AN120" s="104"/>
      <c r="AO120" s="104"/>
      <c r="AP120" s="104"/>
      <c r="AQ120" s="104"/>
    </row>
    <row r="121" spans="1:43" ht="15.75" customHeight="1">
      <c r="A121" s="18" t="s">
        <v>104</v>
      </c>
      <c r="B121" s="5" t="s">
        <v>132</v>
      </c>
      <c r="C121" s="15">
        <v>1</v>
      </c>
      <c r="D121" s="96" t="s">
        <v>405</v>
      </c>
      <c r="E121" s="96">
        <v>377401</v>
      </c>
      <c r="F121" s="97">
        <v>45989</v>
      </c>
      <c r="G121" s="98">
        <v>45990</v>
      </c>
      <c r="H121" s="89" t="e">
        <f t="shared" ca="1" si="0"/>
        <v>#NAME?</v>
      </c>
      <c r="I121" s="96" t="s">
        <v>406</v>
      </c>
      <c r="J121" s="96">
        <v>379598</v>
      </c>
      <c r="K121" s="97">
        <v>45992</v>
      </c>
      <c r="L121" s="98">
        <v>46022</v>
      </c>
      <c r="M121" s="5">
        <f t="shared" si="6"/>
        <v>23</v>
      </c>
      <c r="N121" s="13"/>
      <c r="O121" s="13"/>
      <c r="P121" s="178"/>
      <c r="Q121" s="178"/>
      <c r="R121" s="89">
        <f t="shared" si="3"/>
        <v>0</v>
      </c>
      <c r="S121" s="70"/>
      <c r="T121" s="70"/>
      <c r="U121" s="73"/>
      <c r="V121" s="51"/>
      <c r="W121" s="5">
        <f t="shared" ref="W121:W122" si="8">$D$2-V121</f>
        <v>46004</v>
      </c>
      <c r="X121" s="70"/>
      <c r="Y121" s="70"/>
      <c r="Z121" s="73"/>
      <c r="AA121" s="51"/>
      <c r="AB121" s="103"/>
      <c r="AC121" s="103"/>
      <c r="AD121" s="103"/>
      <c r="AE121" s="100"/>
      <c r="AF121" s="100"/>
      <c r="AG121" s="104"/>
      <c r="AH121" s="104"/>
      <c r="AI121" s="104"/>
      <c r="AJ121" s="104"/>
      <c r="AK121" s="104"/>
      <c r="AL121" s="104"/>
      <c r="AM121" s="104"/>
      <c r="AN121" s="104"/>
      <c r="AO121" s="104"/>
      <c r="AP121" s="104"/>
      <c r="AQ121" s="104"/>
    </row>
    <row r="122" spans="1:43" ht="15.75" customHeight="1">
      <c r="A122" s="18" t="s">
        <v>104</v>
      </c>
      <c r="B122" s="8" t="s">
        <v>134</v>
      </c>
      <c r="C122" s="15">
        <v>1</v>
      </c>
      <c r="D122" s="96" t="s">
        <v>407</v>
      </c>
      <c r="E122" s="96">
        <v>364404</v>
      </c>
      <c r="F122" s="97">
        <v>45964</v>
      </c>
      <c r="G122" s="98">
        <v>45971</v>
      </c>
      <c r="H122" s="89" t="e">
        <f t="shared" ca="1" si="0"/>
        <v>#NAME?</v>
      </c>
      <c r="I122" s="96" t="s">
        <v>220</v>
      </c>
      <c r="J122" s="96">
        <v>364402</v>
      </c>
      <c r="K122" s="97">
        <v>45964</v>
      </c>
      <c r="L122" s="98"/>
      <c r="M122" s="5">
        <f t="shared" si="6"/>
        <v>-32831</v>
      </c>
      <c r="N122" s="13"/>
      <c r="O122" s="174"/>
      <c r="P122" s="181"/>
      <c r="Q122" s="13"/>
      <c r="R122" s="89">
        <f t="shared" si="3"/>
        <v>0</v>
      </c>
      <c r="S122" s="96" t="s">
        <v>167</v>
      </c>
      <c r="T122" s="96">
        <v>368374</v>
      </c>
      <c r="U122" s="97">
        <v>45971</v>
      </c>
      <c r="V122" s="73"/>
      <c r="W122" s="5">
        <f t="shared" si="8"/>
        <v>46004</v>
      </c>
      <c r="X122" s="70"/>
      <c r="Y122" s="70"/>
      <c r="Z122" s="73"/>
      <c r="AA122" s="51"/>
      <c r="AB122" s="5"/>
      <c r="AC122" s="103"/>
      <c r="AD122" s="103"/>
      <c r="AE122" s="100"/>
      <c r="AF122" s="100"/>
      <c r="AG122" s="104"/>
      <c r="AH122" s="104"/>
      <c r="AI122" s="104"/>
      <c r="AJ122" s="104"/>
      <c r="AK122" s="104"/>
      <c r="AL122" s="104"/>
      <c r="AM122" s="104"/>
      <c r="AN122" s="104"/>
      <c r="AO122" s="104"/>
      <c r="AP122" s="104"/>
      <c r="AQ122" s="104"/>
    </row>
    <row r="123" spans="1:43" ht="15.75" customHeight="1">
      <c r="A123" s="18" t="s">
        <v>104</v>
      </c>
      <c r="B123" s="8" t="s">
        <v>135</v>
      </c>
      <c r="C123" s="15">
        <v>1</v>
      </c>
      <c r="D123" s="96" t="s">
        <v>406</v>
      </c>
      <c r="E123" s="96">
        <v>379598</v>
      </c>
      <c r="F123" s="97">
        <v>45992</v>
      </c>
      <c r="G123" s="98">
        <v>45993</v>
      </c>
      <c r="H123" s="89" t="e">
        <f t="shared" ca="1" si="0"/>
        <v>#NAME?</v>
      </c>
      <c r="I123" s="96" t="s">
        <v>408</v>
      </c>
      <c r="J123" s="96">
        <v>389336</v>
      </c>
      <c r="K123" s="96" t="s">
        <v>393</v>
      </c>
      <c r="L123" s="38" t="s">
        <v>394</v>
      </c>
      <c r="M123" s="5">
        <f t="shared" si="6"/>
        <v>5</v>
      </c>
      <c r="N123" s="13"/>
      <c r="O123" s="13"/>
      <c r="P123" s="178"/>
      <c r="Q123" s="43"/>
      <c r="R123" s="89">
        <f t="shared" si="3"/>
        <v>0</v>
      </c>
      <c r="S123" s="70"/>
      <c r="T123" s="70"/>
      <c r="U123" s="73"/>
      <c r="V123" s="70"/>
      <c r="W123" s="5"/>
      <c r="X123" s="70"/>
      <c r="Y123" s="70"/>
      <c r="Z123" s="73"/>
      <c r="AA123" s="73"/>
      <c r="AB123" s="5"/>
      <c r="AC123" s="103"/>
      <c r="AD123" s="103"/>
      <c r="AE123" s="100"/>
      <c r="AF123" s="100"/>
      <c r="AG123" s="104"/>
      <c r="AH123" s="104"/>
      <c r="AI123" s="104"/>
      <c r="AJ123" s="104"/>
      <c r="AK123" s="104"/>
      <c r="AL123" s="104"/>
      <c r="AM123" s="104"/>
      <c r="AN123" s="104"/>
      <c r="AO123" s="104"/>
      <c r="AP123" s="104"/>
      <c r="AQ123" s="104"/>
    </row>
    <row r="124" spans="1:43" ht="15.75" customHeight="1">
      <c r="A124" s="18" t="s">
        <v>104</v>
      </c>
      <c r="B124" s="5" t="s">
        <v>136</v>
      </c>
      <c r="C124" s="15">
        <v>1</v>
      </c>
      <c r="D124" s="96" t="s">
        <v>389</v>
      </c>
      <c r="E124" s="35">
        <v>370602</v>
      </c>
      <c r="F124" s="96" t="s">
        <v>222</v>
      </c>
      <c r="G124" s="38" t="s">
        <v>393</v>
      </c>
      <c r="H124" s="89" t="e">
        <f t="shared" ca="1" si="0"/>
        <v>#NAME?</v>
      </c>
      <c r="I124" s="96" t="s">
        <v>406</v>
      </c>
      <c r="J124" s="96">
        <v>379598</v>
      </c>
      <c r="K124" s="97">
        <v>45992</v>
      </c>
      <c r="L124" s="98">
        <v>46002</v>
      </c>
      <c r="M124" s="5">
        <f t="shared" si="6"/>
        <v>9</v>
      </c>
      <c r="N124" s="13" t="s">
        <v>73</v>
      </c>
      <c r="O124" s="174">
        <v>366880</v>
      </c>
      <c r="P124" s="178">
        <v>45819</v>
      </c>
      <c r="Q124" s="181">
        <v>46337</v>
      </c>
      <c r="R124" s="89">
        <f t="shared" si="3"/>
        <v>-46337</v>
      </c>
      <c r="S124" s="70"/>
      <c r="T124" s="70"/>
      <c r="U124" s="73"/>
      <c r="V124" s="70"/>
      <c r="W124" s="5"/>
      <c r="X124" s="102"/>
      <c r="Y124" s="102"/>
      <c r="Z124" s="102"/>
      <c r="AA124" s="102"/>
      <c r="AB124" s="103"/>
      <c r="AC124" s="103"/>
      <c r="AD124" s="103"/>
      <c r="AE124" s="100"/>
      <c r="AF124" s="100"/>
      <c r="AG124" s="104"/>
      <c r="AH124" s="104"/>
      <c r="AI124" s="104"/>
      <c r="AJ124" s="104"/>
      <c r="AK124" s="104"/>
      <c r="AL124" s="104"/>
      <c r="AM124" s="104"/>
      <c r="AN124" s="104"/>
      <c r="AO124" s="104"/>
      <c r="AP124" s="104"/>
      <c r="AQ124" s="104"/>
    </row>
    <row r="125" spans="1:43" ht="15.75" customHeight="1">
      <c r="A125" s="18" t="s">
        <v>104</v>
      </c>
      <c r="B125" s="5" t="s">
        <v>137</v>
      </c>
      <c r="C125" s="15">
        <v>1</v>
      </c>
      <c r="D125" s="96" t="s">
        <v>388</v>
      </c>
      <c r="E125" s="96">
        <v>365388</v>
      </c>
      <c r="F125" s="97">
        <v>45965</v>
      </c>
      <c r="G125" s="98">
        <v>45972</v>
      </c>
      <c r="H125" s="182">
        <f>$BJP$4-G125</f>
        <v>-45972</v>
      </c>
      <c r="I125" s="96" t="s">
        <v>404</v>
      </c>
      <c r="J125" s="96">
        <v>364459</v>
      </c>
      <c r="K125" s="97">
        <v>45964</v>
      </c>
      <c r="L125" s="98">
        <v>45971</v>
      </c>
      <c r="M125" s="89" t="e">
        <f ca="1">_xludf.DAYS(L125,K125)</f>
        <v>#NAME?</v>
      </c>
      <c r="N125" s="13"/>
      <c r="O125" s="13"/>
      <c r="P125" s="178"/>
      <c r="Q125" s="178"/>
      <c r="R125" s="89">
        <f t="shared" si="3"/>
        <v>0</v>
      </c>
      <c r="S125" s="70"/>
      <c r="T125" s="70"/>
      <c r="U125" s="73"/>
      <c r="V125" s="73"/>
      <c r="W125" s="5">
        <f>$D$2-V125</f>
        <v>46004</v>
      </c>
      <c r="X125" s="102"/>
      <c r="Y125" s="102"/>
      <c r="Z125" s="102"/>
      <c r="AA125" s="102"/>
      <c r="AB125" s="103"/>
      <c r="AC125" s="103"/>
      <c r="AD125" s="103"/>
      <c r="AE125" s="100"/>
      <c r="AF125" s="100"/>
      <c r="AG125" s="104"/>
      <c r="AH125" s="104"/>
      <c r="AI125" s="104"/>
      <c r="AJ125" s="104"/>
      <c r="AK125" s="104"/>
      <c r="AL125" s="104"/>
      <c r="AM125" s="104"/>
      <c r="AN125" s="104"/>
      <c r="AO125" s="104"/>
      <c r="AP125" s="104"/>
      <c r="AQ125" s="104"/>
    </row>
    <row r="126" spans="1:43" ht="15.75" customHeight="1">
      <c r="A126" s="80" t="s">
        <v>139</v>
      </c>
      <c r="B126" s="15" t="s">
        <v>140</v>
      </c>
      <c r="C126" s="15">
        <v>1</v>
      </c>
      <c r="D126" s="47" t="s">
        <v>235</v>
      </c>
      <c r="E126" s="35">
        <v>336039</v>
      </c>
      <c r="F126" s="73">
        <v>45880</v>
      </c>
      <c r="G126" s="81">
        <v>45910</v>
      </c>
      <c r="H126" s="89" t="e">
        <f t="shared" ref="H126:H146" ca="1" si="9">_xludf.DAYS(G126,F126)</f>
        <v>#NAME?</v>
      </c>
      <c r="I126" s="15" t="s">
        <v>56</v>
      </c>
      <c r="J126" s="35">
        <v>337024</v>
      </c>
      <c r="K126" s="33">
        <v>45999</v>
      </c>
      <c r="L126" s="15" t="s">
        <v>236</v>
      </c>
      <c r="M126" s="5">
        <f t="shared" ref="M126:M146" si="10">NETWORKDAYS(K126,L126)</f>
        <v>-52</v>
      </c>
      <c r="N126" s="6" t="s">
        <v>164</v>
      </c>
      <c r="O126" s="6">
        <v>222833</v>
      </c>
      <c r="P126" s="10">
        <v>45394</v>
      </c>
      <c r="Q126" s="6" t="s">
        <v>237</v>
      </c>
      <c r="R126" s="89">
        <f t="shared" si="3"/>
        <v>-45834</v>
      </c>
      <c r="S126" s="70"/>
      <c r="T126" s="70"/>
      <c r="U126" s="73"/>
      <c r="V126" s="73"/>
      <c r="W126" s="5"/>
      <c r="X126" s="102"/>
      <c r="Y126" s="102"/>
      <c r="Z126" s="102"/>
      <c r="AA126" s="102"/>
      <c r="AB126" s="103"/>
      <c r="AC126" s="103"/>
      <c r="AD126" s="103"/>
      <c r="AE126" s="100"/>
      <c r="AF126" s="100"/>
      <c r="AG126" s="104"/>
      <c r="AH126" s="104"/>
      <c r="AI126" s="104"/>
      <c r="AJ126" s="104"/>
      <c r="AK126" s="104"/>
      <c r="AL126" s="104"/>
      <c r="AM126" s="104"/>
      <c r="AN126" s="104"/>
      <c r="AO126" s="104"/>
      <c r="AP126" s="104"/>
      <c r="AQ126" s="104"/>
    </row>
    <row r="127" spans="1:43" ht="15.75" customHeight="1">
      <c r="A127" s="18" t="s">
        <v>139</v>
      </c>
      <c r="B127" s="15" t="s">
        <v>141</v>
      </c>
      <c r="C127" s="15">
        <v>1</v>
      </c>
      <c r="D127" s="70" t="s">
        <v>238</v>
      </c>
      <c r="E127" s="34">
        <v>324426</v>
      </c>
      <c r="F127" s="70" t="s">
        <v>239</v>
      </c>
      <c r="G127" s="51">
        <v>45818</v>
      </c>
      <c r="H127" s="89" t="e">
        <f t="shared" ca="1" si="9"/>
        <v>#NAME?</v>
      </c>
      <c r="I127" s="6" t="s">
        <v>148</v>
      </c>
      <c r="J127" s="48">
        <v>249290</v>
      </c>
      <c r="K127" s="70" t="s">
        <v>240</v>
      </c>
      <c r="L127" s="15" t="s">
        <v>241</v>
      </c>
      <c r="M127" s="5">
        <f t="shared" si="10"/>
        <v>140</v>
      </c>
      <c r="N127" s="6" t="s">
        <v>164</v>
      </c>
      <c r="O127" s="6">
        <v>222833</v>
      </c>
      <c r="P127" s="10">
        <v>45394</v>
      </c>
      <c r="Q127" s="6" t="s">
        <v>237</v>
      </c>
      <c r="R127" s="89">
        <f t="shared" si="3"/>
        <v>-45834</v>
      </c>
      <c r="S127" s="70"/>
      <c r="T127" s="70"/>
      <c r="U127" s="73"/>
      <c r="V127" s="73"/>
      <c r="W127" s="5"/>
      <c r="X127" s="102"/>
      <c r="Y127" s="102"/>
      <c r="Z127" s="102"/>
      <c r="AA127" s="102"/>
      <c r="AB127" s="103"/>
      <c r="AC127" s="103"/>
      <c r="AD127" s="103"/>
      <c r="AE127" s="100"/>
      <c r="AF127" s="100"/>
      <c r="AG127" s="104"/>
      <c r="AH127" s="104"/>
      <c r="AI127" s="104"/>
      <c r="AJ127" s="104"/>
      <c r="AK127" s="104"/>
      <c r="AL127" s="104"/>
      <c r="AM127" s="104"/>
      <c r="AN127" s="104"/>
      <c r="AO127" s="104"/>
      <c r="AP127" s="104"/>
      <c r="AQ127" s="104"/>
    </row>
    <row r="128" spans="1:43" ht="15.75" customHeight="1">
      <c r="A128" s="18" t="s">
        <v>139</v>
      </c>
      <c r="B128" s="15" t="s">
        <v>142</v>
      </c>
      <c r="C128" s="15">
        <v>1</v>
      </c>
      <c r="D128" s="70" t="s">
        <v>242</v>
      </c>
      <c r="E128" s="35">
        <v>165541</v>
      </c>
      <c r="F128" s="73">
        <v>45968</v>
      </c>
      <c r="G128" s="34" t="s">
        <v>243</v>
      </c>
      <c r="H128" s="89" t="e">
        <f t="shared" ca="1" si="9"/>
        <v>#NAME?</v>
      </c>
      <c r="I128" s="15" t="s">
        <v>98</v>
      </c>
      <c r="J128" s="48">
        <v>306498</v>
      </c>
      <c r="K128" s="33">
        <v>45906</v>
      </c>
      <c r="L128" s="15" t="s">
        <v>244</v>
      </c>
      <c r="M128" s="5">
        <f t="shared" si="10"/>
        <v>-50</v>
      </c>
      <c r="N128" s="70" t="s">
        <v>238</v>
      </c>
      <c r="O128" s="34">
        <v>324426</v>
      </c>
      <c r="P128" s="70" t="s">
        <v>239</v>
      </c>
      <c r="Q128" s="17">
        <v>45818</v>
      </c>
      <c r="R128" s="89">
        <f t="shared" si="3"/>
        <v>-45818</v>
      </c>
      <c r="S128" s="6" t="s">
        <v>148</v>
      </c>
      <c r="T128" s="48">
        <v>249290</v>
      </c>
      <c r="U128" s="70" t="s">
        <v>240</v>
      </c>
      <c r="V128" s="15" t="s">
        <v>245</v>
      </c>
      <c r="W128" s="15"/>
      <c r="X128" s="6" t="s">
        <v>164</v>
      </c>
      <c r="Y128" s="6">
        <v>222833</v>
      </c>
      <c r="Z128" s="10">
        <v>45394</v>
      </c>
      <c r="AA128" s="6" t="s">
        <v>237</v>
      </c>
      <c r="AB128" s="103"/>
      <c r="AC128" s="103"/>
      <c r="AD128" s="103"/>
      <c r="AE128" s="100"/>
      <c r="AF128" s="100"/>
      <c r="AG128" s="104"/>
      <c r="AH128" s="104"/>
      <c r="AI128" s="104"/>
      <c r="AJ128" s="104"/>
      <c r="AK128" s="104"/>
      <c r="AL128" s="104"/>
      <c r="AM128" s="104"/>
      <c r="AN128" s="104"/>
      <c r="AO128" s="104"/>
      <c r="AP128" s="104"/>
      <c r="AQ128" s="104"/>
    </row>
    <row r="129" spans="1:43" ht="15.75" customHeight="1">
      <c r="A129" s="18" t="s">
        <v>139</v>
      </c>
      <c r="B129" s="15" t="s">
        <v>143</v>
      </c>
      <c r="C129" s="15">
        <v>1</v>
      </c>
      <c r="D129" s="70" t="s">
        <v>144</v>
      </c>
      <c r="E129" s="35">
        <v>266616</v>
      </c>
      <c r="F129" s="70" t="s">
        <v>246</v>
      </c>
      <c r="G129" s="34" t="s">
        <v>247</v>
      </c>
      <c r="H129" s="89" t="e">
        <f t="shared" ca="1" si="9"/>
        <v>#NAME?</v>
      </c>
      <c r="I129" s="15" t="s">
        <v>248</v>
      </c>
      <c r="J129" s="48">
        <v>174015</v>
      </c>
      <c r="K129" s="70" t="s">
        <v>249</v>
      </c>
      <c r="L129" s="15" t="s">
        <v>250</v>
      </c>
      <c r="M129" s="5">
        <f t="shared" si="10"/>
        <v>221</v>
      </c>
      <c r="N129" s="35" t="s">
        <v>251</v>
      </c>
      <c r="O129" s="82">
        <v>222833</v>
      </c>
      <c r="P129" s="83">
        <v>45630</v>
      </c>
      <c r="Q129" s="84" t="s">
        <v>252</v>
      </c>
      <c r="R129" s="89">
        <f t="shared" si="3"/>
        <v>-45762</v>
      </c>
      <c r="S129" s="6" t="s">
        <v>164</v>
      </c>
      <c r="T129" s="6">
        <v>222833</v>
      </c>
      <c r="U129" s="10">
        <v>45394</v>
      </c>
      <c r="V129" s="6" t="s">
        <v>237</v>
      </c>
      <c r="W129" s="15"/>
      <c r="X129" s="102"/>
      <c r="Y129" s="102"/>
      <c r="Z129" s="102"/>
      <c r="AA129" s="102"/>
      <c r="AB129" s="103"/>
      <c r="AC129" s="15"/>
      <c r="AD129" s="15"/>
      <c r="AE129" s="33"/>
      <c r="AF129" s="33"/>
      <c r="AG129" s="104"/>
      <c r="AH129" s="104"/>
      <c r="AI129" s="104"/>
      <c r="AJ129" s="104"/>
      <c r="AK129" s="104"/>
      <c r="AL129" s="104"/>
      <c r="AM129" s="104"/>
      <c r="AN129" s="104"/>
      <c r="AO129" s="104"/>
      <c r="AP129" s="104"/>
      <c r="AQ129" s="104"/>
    </row>
    <row r="130" spans="1:43" ht="15.75" customHeight="1">
      <c r="A130" s="18" t="s">
        <v>139</v>
      </c>
      <c r="B130" s="15" t="s">
        <v>145</v>
      </c>
      <c r="C130" s="15">
        <v>1</v>
      </c>
      <c r="D130" s="70" t="s">
        <v>248</v>
      </c>
      <c r="E130" s="48">
        <v>174015</v>
      </c>
      <c r="F130" s="70" t="s">
        <v>249</v>
      </c>
      <c r="G130" s="34" t="s">
        <v>253</v>
      </c>
      <c r="H130" s="89" t="e">
        <f t="shared" ca="1" si="9"/>
        <v>#NAME?</v>
      </c>
      <c r="I130" s="15" t="s">
        <v>254</v>
      </c>
      <c r="J130" s="15">
        <v>166840</v>
      </c>
      <c r="K130" s="15" t="s">
        <v>255</v>
      </c>
      <c r="L130" s="15" t="s">
        <v>256</v>
      </c>
      <c r="M130" s="5">
        <f t="shared" si="10"/>
        <v>219</v>
      </c>
      <c r="N130" s="35" t="s">
        <v>257</v>
      </c>
      <c r="O130" s="82">
        <v>336979</v>
      </c>
      <c r="P130" s="83">
        <v>45881</v>
      </c>
      <c r="Q130" s="84" t="s">
        <v>234</v>
      </c>
      <c r="R130" s="89">
        <f t="shared" si="3"/>
        <v>-45944</v>
      </c>
      <c r="S130" s="15" t="s">
        <v>258</v>
      </c>
      <c r="T130" s="15">
        <v>266619</v>
      </c>
      <c r="U130" s="15" t="s">
        <v>246</v>
      </c>
      <c r="V130" s="52">
        <v>45784</v>
      </c>
      <c r="W130" s="15"/>
      <c r="X130" s="6" t="s">
        <v>259</v>
      </c>
      <c r="Y130" s="6">
        <v>306488</v>
      </c>
      <c r="Z130" s="14">
        <v>45906</v>
      </c>
      <c r="AA130" s="15" t="s">
        <v>223</v>
      </c>
      <c r="AB130" s="103"/>
      <c r="AC130" s="6" t="s">
        <v>164</v>
      </c>
      <c r="AD130" s="6">
        <v>222833</v>
      </c>
      <c r="AE130" s="10">
        <v>45394</v>
      </c>
      <c r="AF130" s="6" t="s">
        <v>237</v>
      </c>
      <c r="AG130" s="104"/>
      <c r="AH130" s="104"/>
      <c r="AI130" s="104"/>
      <c r="AJ130" s="104"/>
      <c r="AK130" s="104"/>
      <c r="AL130" s="104"/>
      <c r="AM130" s="104"/>
      <c r="AN130" s="104"/>
      <c r="AO130" s="104"/>
      <c r="AP130" s="104"/>
      <c r="AQ130" s="104"/>
    </row>
    <row r="131" spans="1:43" ht="15.75" customHeight="1">
      <c r="A131" s="18" t="s">
        <v>139</v>
      </c>
      <c r="B131" s="15" t="s">
        <v>146</v>
      </c>
      <c r="C131" s="15">
        <v>1</v>
      </c>
      <c r="D131" s="70" t="s">
        <v>98</v>
      </c>
      <c r="E131" s="48">
        <v>306498</v>
      </c>
      <c r="F131" s="73">
        <v>45906</v>
      </c>
      <c r="G131" s="69">
        <v>45999</v>
      </c>
      <c r="H131" s="89" t="e">
        <f t="shared" ca="1" si="9"/>
        <v>#NAME?</v>
      </c>
      <c r="I131" s="15" t="s">
        <v>254</v>
      </c>
      <c r="J131" s="15">
        <v>166840</v>
      </c>
      <c r="K131" s="15" t="s">
        <v>255</v>
      </c>
      <c r="L131" s="51">
        <v>45722</v>
      </c>
      <c r="M131" s="5">
        <f t="shared" si="10"/>
        <v>169</v>
      </c>
      <c r="N131" s="85" t="s">
        <v>260</v>
      </c>
      <c r="O131" s="35">
        <v>261580</v>
      </c>
      <c r="P131" s="66">
        <v>45736</v>
      </c>
      <c r="Q131" s="86">
        <v>45878</v>
      </c>
      <c r="R131" s="89">
        <f t="shared" si="3"/>
        <v>-45878</v>
      </c>
      <c r="S131" s="7"/>
      <c r="T131" s="15"/>
      <c r="U131" s="15"/>
      <c r="V131" s="15"/>
      <c r="W131" s="15"/>
      <c r="X131" s="102"/>
      <c r="Y131" s="102"/>
      <c r="Z131" s="102"/>
      <c r="AA131" s="102"/>
      <c r="AB131" s="103"/>
      <c r="AC131" s="6"/>
      <c r="AD131" s="7"/>
      <c r="AE131" s="10"/>
      <c r="AF131" s="6"/>
      <c r="AG131" s="104"/>
      <c r="AH131" s="104"/>
      <c r="AI131" s="104"/>
      <c r="AJ131" s="104"/>
      <c r="AK131" s="104"/>
      <c r="AL131" s="104"/>
      <c r="AM131" s="104"/>
      <c r="AN131" s="104"/>
      <c r="AO131" s="104"/>
      <c r="AP131" s="104"/>
      <c r="AQ131" s="104"/>
    </row>
    <row r="132" spans="1:43" ht="15.75" customHeight="1">
      <c r="A132" s="18" t="s">
        <v>139</v>
      </c>
      <c r="B132" s="19" t="s">
        <v>147</v>
      </c>
      <c r="C132" s="15">
        <v>1</v>
      </c>
      <c r="D132" s="70" t="s">
        <v>148</v>
      </c>
      <c r="E132" s="48">
        <v>249290</v>
      </c>
      <c r="F132" s="70" t="s">
        <v>240</v>
      </c>
      <c r="G132" s="34" t="s">
        <v>237</v>
      </c>
      <c r="H132" s="89" t="e">
        <f t="shared" ca="1" si="9"/>
        <v>#NAME?</v>
      </c>
      <c r="I132" s="6" t="s">
        <v>261</v>
      </c>
      <c r="J132" s="6">
        <v>272685</v>
      </c>
      <c r="K132" s="14">
        <v>45904</v>
      </c>
      <c r="L132" s="33">
        <v>45849</v>
      </c>
      <c r="M132" s="5">
        <f t="shared" si="10"/>
        <v>-40</v>
      </c>
      <c r="N132" s="6"/>
      <c r="O132" s="7"/>
      <c r="P132" s="10"/>
      <c r="Q132" s="6"/>
      <c r="R132" s="89">
        <f t="shared" si="3"/>
        <v>0</v>
      </c>
      <c r="S132" s="7"/>
      <c r="T132" s="15"/>
      <c r="U132" s="15"/>
      <c r="V132" s="15"/>
      <c r="W132" s="15"/>
      <c r="X132" s="102"/>
      <c r="Y132" s="102"/>
      <c r="Z132" s="102"/>
      <c r="AA132" s="102"/>
      <c r="AB132" s="103"/>
      <c r="AC132" s="6"/>
      <c r="AD132" s="7"/>
      <c r="AE132" s="10"/>
      <c r="AF132" s="6"/>
      <c r="AG132" s="104"/>
      <c r="AH132" s="104"/>
      <c r="AI132" s="104"/>
      <c r="AJ132" s="104"/>
      <c r="AK132" s="104"/>
      <c r="AL132" s="104"/>
      <c r="AM132" s="104"/>
      <c r="AN132" s="104"/>
      <c r="AO132" s="104"/>
      <c r="AP132" s="104"/>
      <c r="AQ132" s="104"/>
    </row>
    <row r="133" spans="1:43" ht="15.75" customHeight="1">
      <c r="A133" s="18" t="s">
        <v>139</v>
      </c>
      <c r="B133" s="15" t="s">
        <v>149</v>
      </c>
      <c r="C133" s="15">
        <v>1</v>
      </c>
      <c r="D133" s="85" t="s">
        <v>260</v>
      </c>
      <c r="E133" s="35">
        <v>261580</v>
      </c>
      <c r="F133" s="66">
        <v>45736</v>
      </c>
      <c r="G133" s="83">
        <v>45841</v>
      </c>
      <c r="H133" s="89" t="e">
        <f t="shared" ca="1" si="9"/>
        <v>#NAME?</v>
      </c>
      <c r="I133" s="85" t="s">
        <v>262</v>
      </c>
      <c r="J133" s="35">
        <v>337352</v>
      </c>
      <c r="K133" s="66">
        <v>45881</v>
      </c>
      <c r="L133" s="83">
        <v>45943</v>
      </c>
      <c r="M133" s="5">
        <f t="shared" si="10"/>
        <v>45</v>
      </c>
      <c r="N133" s="15" t="s">
        <v>258</v>
      </c>
      <c r="O133" s="15">
        <v>266619</v>
      </c>
      <c r="P133" s="15" t="s">
        <v>246</v>
      </c>
      <c r="Q133" s="33">
        <v>45968</v>
      </c>
      <c r="R133" s="89">
        <f t="shared" si="3"/>
        <v>-45968</v>
      </c>
      <c r="S133" s="35" t="s">
        <v>263</v>
      </c>
      <c r="T133" s="35">
        <v>87909</v>
      </c>
      <c r="U133" s="66">
        <v>45248</v>
      </c>
      <c r="V133" s="52">
        <v>45819</v>
      </c>
      <c r="W133" s="15"/>
      <c r="X133" s="102" t="s">
        <v>158</v>
      </c>
      <c r="Y133" s="102">
        <v>178685</v>
      </c>
      <c r="Z133" s="164">
        <v>45359</v>
      </c>
      <c r="AA133" s="102" t="s">
        <v>229</v>
      </c>
      <c r="AB133" s="103"/>
      <c r="AC133" s="6" t="s">
        <v>164</v>
      </c>
      <c r="AD133" s="6">
        <v>222833</v>
      </c>
      <c r="AE133" s="10">
        <v>45394</v>
      </c>
      <c r="AF133" s="6" t="s">
        <v>237</v>
      </c>
      <c r="AG133" s="104"/>
      <c r="AH133" s="104"/>
      <c r="AI133" s="104"/>
      <c r="AJ133" s="104"/>
      <c r="AK133" s="104"/>
      <c r="AL133" s="104"/>
      <c r="AM133" s="104"/>
      <c r="AN133" s="104"/>
      <c r="AO133" s="104"/>
      <c r="AP133" s="104"/>
      <c r="AQ133" s="104"/>
    </row>
    <row r="134" spans="1:43" ht="15.75" customHeight="1">
      <c r="A134" s="18" t="s">
        <v>139</v>
      </c>
      <c r="B134" s="15" t="s">
        <v>150</v>
      </c>
      <c r="C134" s="15">
        <v>1</v>
      </c>
      <c r="D134" s="85" t="s">
        <v>264</v>
      </c>
      <c r="E134" s="35">
        <v>292004</v>
      </c>
      <c r="F134" s="66">
        <v>45792</v>
      </c>
      <c r="G134" s="83">
        <v>45944</v>
      </c>
      <c r="H134" s="89" t="e">
        <f t="shared" ca="1" si="9"/>
        <v>#NAME?</v>
      </c>
      <c r="I134" s="35" t="s">
        <v>265</v>
      </c>
      <c r="J134" s="35">
        <v>306164</v>
      </c>
      <c r="K134" s="66">
        <v>45814</v>
      </c>
      <c r="L134" s="83">
        <v>45967</v>
      </c>
      <c r="M134" s="5">
        <f t="shared" si="10"/>
        <v>110</v>
      </c>
      <c r="N134" s="35" t="s">
        <v>266</v>
      </c>
      <c r="O134" s="35">
        <v>318884</v>
      </c>
      <c r="P134" s="66">
        <v>45845</v>
      </c>
      <c r="Q134" s="6" t="s">
        <v>267</v>
      </c>
      <c r="R134" s="89">
        <f t="shared" si="3"/>
        <v>-45857</v>
      </c>
      <c r="S134" s="35" t="s">
        <v>268</v>
      </c>
      <c r="T134" s="35">
        <v>260437</v>
      </c>
      <c r="U134" s="66">
        <v>45735</v>
      </c>
      <c r="V134" s="15" t="s">
        <v>229</v>
      </c>
      <c r="W134" s="15"/>
      <c r="X134" s="35" t="s">
        <v>269</v>
      </c>
      <c r="Y134" s="35">
        <v>356970</v>
      </c>
      <c r="Z134" s="66">
        <v>45881</v>
      </c>
      <c r="AA134" s="102" t="s">
        <v>236</v>
      </c>
      <c r="AB134" s="103"/>
      <c r="AC134" s="6" t="s">
        <v>164</v>
      </c>
      <c r="AD134" s="6">
        <v>222833</v>
      </c>
      <c r="AE134" s="10">
        <v>45394</v>
      </c>
      <c r="AF134" s="6" t="s">
        <v>237</v>
      </c>
      <c r="AG134" s="104"/>
      <c r="AH134" s="104"/>
      <c r="AI134" s="104"/>
      <c r="AJ134" s="104"/>
      <c r="AK134" s="104"/>
      <c r="AL134" s="104"/>
      <c r="AM134" s="104"/>
      <c r="AN134" s="104"/>
      <c r="AO134" s="104"/>
      <c r="AP134" s="104"/>
      <c r="AQ134" s="104"/>
    </row>
    <row r="135" spans="1:43" ht="15.75" customHeight="1">
      <c r="A135" s="18" t="s">
        <v>139</v>
      </c>
      <c r="B135" s="19" t="s">
        <v>151</v>
      </c>
      <c r="C135" s="15">
        <v>1</v>
      </c>
      <c r="D135" s="47" t="s">
        <v>235</v>
      </c>
      <c r="E135" s="35">
        <v>336039</v>
      </c>
      <c r="F135" s="73">
        <v>45880</v>
      </c>
      <c r="G135" s="34" t="s">
        <v>225</v>
      </c>
      <c r="H135" s="89" t="e">
        <f t="shared" ca="1" si="9"/>
        <v>#NAME?</v>
      </c>
      <c r="I135" s="35" t="s">
        <v>263</v>
      </c>
      <c r="J135" s="35">
        <v>87909</v>
      </c>
      <c r="K135" s="66">
        <v>45248</v>
      </c>
      <c r="L135" s="83">
        <v>45943</v>
      </c>
      <c r="M135" s="5">
        <f t="shared" si="10"/>
        <v>496</v>
      </c>
      <c r="N135" s="35" t="s">
        <v>270</v>
      </c>
      <c r="O135" s="35">
        <v>167411</v>
      </c>
      <c r="P135" s="66">
        <v>45853</v>
      </c>
      <c r="Q135" s="83">
        <v>45969</v>
      </c>
      <c r="R135" s="89">
        <f t="shared" si="3"/>
        <v>-45969</v>
      </c>
      <c r="S135" s="35" t="s">
        <v>268</v>
      </c>
      <c r="T135" s="35">
        <v>260437</v>
      </c>
      <c r="U135" s="66">
        <v>45735</v>
      </c>
      <c r="V135" s="52">
        <v>45696</v>
      </c>
      <c r="W135" s="15"/>
      <c r="X135" s="85" t="s">
        <v>264</v>
      </c>
      <c r="Y135" s="35">
        <v>292004</v>
      </c>
      <c r="Z135" s="66">
        <v>45792</v>
      </c>
      <c r="AA135" s="164">
        <v>45818</v>
      </c>
      <c r="AB135" s="103"/>
      <c r="AC135" s="6" t="s">
        <v>164</v>
      </c>
      <c r="AD135" s="6">
        <v>222833</v>
      </c>
      <c r="AE135" s="10">
        <v>45394</v>
      </c>
      <c r="AF135" s="6" t="s">
        <v>237</v>
      </c>
      <c r="AG135" s="104"/>
      <c r="AH135" s="104"/>
      <c r="AI135" s="104"/>
      <c r="AJ135" s="104"/>
      <c r="AK135" s="104"/>
      <c r="AL135" s="104"/>
      <c r="AM135" s="104"/>
      <c r="AN135" s="104"/>
      <c r="AO135" s="104"/>
      <c r="AP135" s="104"/>
      <c r="AQ135" s="104"/>
    </row>
    <row r="136" spans="1:43" ht="15.75" customHeight="1">
      <c r="A136" s="18" t="s">
        <v>139</v>
      </c>
      <c r="B136" s="19" t="s">
        <v>153</v>
      </c>
      <c r="C136" s="15">
        <v>1</v>
      </c>
      <c r="D136" s="35" t="s">
        <v>268</v>
      </c>
      <c r="E136" s="35">
        <v>260437</v>
      </c>
      <c r="F136" s="66">
        <v>45735</v>
      </c>
      <c r="G136" s="83">
        <v>45930</v>
      </c>
      <c r="H136" s="89" t="e">
        <f t="shared" ca="1" si="9"/>
        <v>#NAME?</v>
      </c>
      <c r="I136" s="47" t="s">
        <v>235</v>
      </c>
      <c r="J136" s="35">
        <v>336039</v>
      </c>
      <c r="K136" s="73">
        <v>45880</v>
      </c>
      <c r="L136" s="15" t="s">
        <v>271</v>
      </c>
      <c r="M136" s="5">
        <f t="shared" si="10"/>
        <v>8</v>
      </c>
      <c r="N136" s="35" t="s">
        <v>269</v>
      </c>
      <c r="O136" s="35">
        <v>356970</v>
      </c>
      <c r="P136" s="66">
        <v>45881</v>
      </c>
      <c r="Q136" s="83">
        <v>45968</v>
      </c>
      <c r="R136" s="89">
        <f t="shared" si="3"/>
        <v>-45968</v>
      </c>
      <c r="S136" s="35" t="s">
        <v>156</v>
      </c>
      <c r="T136" s="35">
        <v>291425</v>
      </c>
      <c r="U136" s="66" t="s">
        <v>221</v>
      </c>
      <c r="V136" s="52">
        <v>45816</v>
      </c>
      <c r="W136" s="15"/>
      <c r="X136" s="35" t="s">
        <v>272</v>
      </c>
      <c r="Y136" s="35">
        <v>260437</v>
      </c>
      <c r="Z136" s="66">
        <v>45748</v>
      </c>
      <c r="AA136" s="164">
        <v>45937</v>
      </c>
      <c r="AB136" s="103"/>
      <c r="AC136" s="35" t="s">
        <v>265</v>
      </c>
      <c r="AD136" s="35">
        <v>306164</v>
      </c>
      <c r="AE136" s="66">
        <v>45814</v>
      </c>
      <c r="AF136" s="6" t="s">
        <v>273</v>
      </c>
      <c r="AG136" s="104"/>
      <c r="AH136" s="104"/>
      <c r="AI136" s="104"/>
      <c r="AJ136" s="104"/>
      <c r="AK136" s="104"/>
      <c r="AL136" s="104"/>
      <c r="AM136" s="104"/>
      <c r="AN136" s="104"/>
      <c r="AO136" s="104"/>
      <c r="AP136" s="104"/>
      <c r="AQ136" s="104"/>
    </row>
    <row r="137" spans="1:43" ht="15.75" customHeight="1">
      <c r="A137" s="18" t="s">
        <v>139</v>
      </c>
      <c r="B137" s="15" t="s">
        <v>154</v>
      </c>
      <c r="C137" s="15">
        <v>1</v>
      </c>
      <c r="D137" s="35" t="s">
        <v>272</v>
      </c>
      <c r="E137" s="35">
        <v>260437</v>
      </c>
      <c r="F137" s="66">
        <v>45748</v>
      </c>
      <c r="G137" s="83">
        <v>45784</v>
      </c>
      <c r="H137" s="89" t="e">
        <f t="shared" ca="1" si="9"/>
        <v>#NAME?</v>
      </c>
      <c r="I137" s="35" t="s">
        <v>156</v>
      </c>
      <c r="J137" s="35">
        <v>291425</v>
      </c>
      <c r="K137" s="66" t="s">
        <v>221</v>
      </c>
      <c r="L137" s="15" t="s">
        <v>216</v>
      </c>
      <c r="M137" s="5">
        <f t="shared" si="10"/>
        <v>155</v>
      </c>
      <c r="N137" s="102" t="s">
        <v>158</v>
      </c>
      <c r="O137" s="102">
        <v>178685</v>
      </c>
      <c r="P137" s="164">
        <v>45359</v>
      </c>
      <c r="Q137" s="17">
        <v>45723</v>
      </c>
      <c r="R137" s="89">
        <f t="shared" si="3"/>
        <v>-45723</v>
      </c>
      <c r="S137" s="6" t="s">
        <v>164</v>
      </c>
      <c r="T137" s="6">
        <v>222833</v>
      </c>
      <c r="U137" s="10">
        <v>45394</v>
      </c>
      <c r="V137" s="6" t="s">
        <v>237</v>
      </c>
      <c r="W137" s="15"/>
      <c r="X137" s="6" t="s">
        <v>274</v>
      </c>
      <c r="Y137" s="6">
        <v>187455</v>
      </c>
      <c r="Z137" s="6" t="s">
        <v>275</v>
      </c>
      <c r="AA137" s="102" t="s">
        <v>276</v>
      </c>
      <c r="AB137" s="103"/>
      <c r="AC137" s="6"/>
      <c r="AD137" s="7"/>
      <c r="AE137" s="10"/>
      <c r="AF137" s="6"/>
      <c r="AG137" s="104"/>
      <c r="AH137" s="104"/>
      <c r="AI137" s="104"/>
      <c r="AJ137" s="104"/>
      <c r="AK137" s="104"/>
      <c r="AL137" s="104"/>
      <c r="AM137" s="104"/>
      <c r="AN137" s="104"/>
      <c r="AO137" s="104"/>
      <c r="AP137" s="104"/>
      <c r="AQ137" s="104"/>
    </row>
    <row r="138" spans="1:43" ht="15.75" customHeight="1">
      <c r="A138" s="18" t="s">
        <v>139</v>
      </c>
      <c r="B138" s="15" t="s">
        <v>155</v>
      </c>
      <c r="C138" s="15">
        <v>1</v>
      </c>
      <c r="D138" s="35" t="s">
        <v>156</v>
      </c>
      <c r="E138" s="35">
        <v>291425</v>
      </c>
      <c r="F138" s="66" t="s">
        <v>221</v>
      </c>
      <c r="G138" s="83">
        <v>45810</v>
      </c>
      <c r="H138" s="89" t="e">
        <f t="shared" ca="1" si="9"/>
        <v>#NAME?</v>
      </c>
      <c r="I138" s="35" t="s">
        <v>272</v>
      </c>
      <c r="J138" s="35">
        <v>260437</v>
      </c>
      <c r="K138" s="66">
        <v>45748</v>
      </c>
      <c r="L138" s="6" t="s">
        <v>233</v>
      </c>
      <c r="M138" s="5">
        <f t="shared" si="10"/>
        <v>104</v>
      </c>
      <c r="N138" s="6" t="s">
        <v>277</v>
      </c>
      <c r="O138" s="6">
        <v>234919</v>
      </c>
      <c r="P138" s="6" t="s">
        <v>278</v>
      </c>
      <c r="Q138" s="33">
        <v>45819</v>
      </c>
      <c r="R138" s="89">
        <f t="shared" si="3"/>
        <v>-45819</v>
      </c>
      <c r="S138" s="102" t="s">
        <v>158</v>
      </c>
      <c r="T138" s="102">
        <v>178685</v>
      </c>
      <c r="U138" s="164">
        <v>45359</v>
      </c>
      <c r="V138" s="52">
        <v>45998</v>
      </c>
      <c r="W138" s="15"/>
      <c r="X138" s="6" t="s">
        <v>164</v>
      </c>
      <c r="Y138" s="6">
        <v>222833</v>
      </c>
      <c r="Z138" s="10">
        <v>45394</v>
      </c>
      <c r="AA138" s="6" t="s">
        <v>237</v>
      </c>
      <c r="AB138" s="103"/>
      <c r="AC138" s="6" t="s">
        <v>274</v>
      </c>
      <c r="AD138" s="6">
        <v>187455</v>
      </c>
      <c r="AE138" s="6" t="s">
        <v>275</v>
      </c>
      <c r="AF138" s="33">
        <v>45938</v>
      </c>
      <c r="AG138" s="104"/>
      <c r="AH138" s="104"/>
      <c r="AI138" s="104"/>
      <c r="AJ138" s="104"/>
      <c r="AK138" s="104"/>
      <c r="AL138" s="104"/>
      <c r="AM138" s="104"/>
      <c r="AN138" s="104"/>
      <c r="AO138" s="104"/>
      <c r="AP138" s="104"/>
      <c r="AQ138" s="104"/>
    </row>
    <row r="139" spans="1:43" ht="15.75" customHeight="1">
      <c r="A139" s="186" t="s">
        <v>139</v>
      </c>
      <c r="B139" s="16" t="s">
        <v>157</v>
      </c>
      <c r="C139" s="16">
        <v>1</v>
      </c>
      <c r="D139" s="35" t="s">
        <v>266</v>
      </c>
      <c r="E139" s="35">
        <v>318884</v>
      </c>
      <c r="F139" s="66">
        <v>45845</v>
      </c>
      <c r="G139" s="83">
        <v>45853</v>
      </c>
      <c r="H139" s="89" t="e">
        <f t="shared" ca="1" si="9"/>
        <v>#NAME?</v>
      </c>
      <c r="I139" s="6" t="s">
        <v>259</v>
      </c>
      <c r="J139" s="6">
        <v>306488</v>
      </c>
      <c r="K139" s="14">
        <v>45906</v>
      </c>
      <c r="L139" s="37">
        <v>45695</v>
      </c>
      <c r="M139" s="5">
        <f t="shared" si="10"/>
        <v>-151</v>
      </c>
      <c r="N139" s="6"/>
      <c r="O139" s="6"/>
      <c r="P139" s="10"/>
      <c r="Q139" s="33"/>
      <c r="R139" s="89">
        <f t="shared" si="3"/>
        <v>0</v>
      </c>
      <c r="S139" s="7"/>
      <c r="T139" s="15"/>
      <c r="U139" s="15"/>
      <c r="V139" s="15"/>
      <c r="W139" s="15"/>
      <c r="X139" s="102"/>
      <c r="Y139" s="102"/>
      <c r="Z139" s="102"/>
      <c r="AA139" s="102"/>
      <c r="AB139" s="103"/>
      <c r="AC139" s="6"/>
      <c r="AD139" s="6"/>
      <c r="AE139" s="10"/>
      <c r="AF139" s="33"/>
      <c r="AG139" s="104"/>
      <c r="AH139" s="104"/>
      <c r="AI139" s="104"/>
      <c r="AJ139" s="104"/>
      <c r="AK139" s="104"/>
      <c r="AL139" s="104"/>
      <c r="AM139" s="104"/>
      <c r="AN139" s="104"/>
      <c r="AO139" s="104"/>
      <c r="AP139" s="104"/>
      <c r="AQ139" s="104"/>
    </row>
    <row r="140" spans="1:43" ht="15.75" customHeight="1">
      <c r="A140" s="183"/>
      <c r="B140" s="16" t="s">
        <v>157</v>
      </c>
      <c r="C140" s="16">
        <v>1</v>
      </c>
      <c r="D140" s="85" t="s">
        <v>279</v>
      </c>
      <c r="E140" s="35">
        <v>86694</v>
      </c>
      <c r="F140" s="66">
        <v>45239</v>
      </c>
      <c r="G140" s="83">
        <v>45943</v>
      </c>
      <c r="H140" s="89" t="e">
        <f t="shared" ca="1" si="9"/>
        <v>#NAME?</v>
      </c>
      <c r="I140" s="6" t="s">
        <v>158</v>
      </c>
      <c r="J140" s="6">
        <v>178685</v>
      </c>
      <c r="K140" s="14">
        <v>45359</v>
      </c>
      <c r="L140" s="5" t="s">
        <v>244</v>
      </c>
      <c r="M140" s="5">
        <f t="shared" si="10"/>
        <v>341</v>
      </c>
      <c r="N140" s="6" t="s">
        <v>274</v>
      </c>
      <c r="O140" s="6">
        <v>187455</v>
      </c>
      <c r="P140" s="6" t="s">
        <v>275</v>
      </c>
      <c r="Q140" s="6" t="s">
        <v>237</v>
      </c>
      <c r="R140" s="89">
        <f t="shared" si="3"/>
        <v>-45834</v>
      </c>
      <c r="S140" s="7"/>
      <c r="T140" s="15"/>
      <c r="U140" s="15"/>
      <c r="V140" s="15"/>
      <c r="W140" s="15"/>
      <c r="X140" s="102"/>
      <c r="Y140" s="102"/>
      <c r="Z140" s="102"/>
      <c r="AA140" s="102"/>
      <c r="AB140" s="103"/>
      <c r="AC140" s="6"/>
      <c r="AD140" s="7"/>
      <c r="AE140" s="10"/>
      <c r="AF140" s="6"/>
      <c r="AG140" s="104"/>
      <c r="AH140" s="104"/>
      <c r="AI140" s="104"/>
      <c r="AJ140" s="104"/>
      <c r="AK140" s="104"/>
      <c r="AL140" s="104"/>
      <c r="AM140" s="104"/>
      <c r="AN140" s="104"/>
      <c r="AO140" s="104"/>
      <c r="AP140" s="104"/>
      <c r="AQ140" s="104"/>
    </row>
    <row r="141" spans="1:43" ht="15.75" customHeight="1">
      <c r="A141" s="15" t="s">
        <v>139</v>
      </c>
      <c r="B141" s="15" t="s">
        <v>159</v>
      </c>
      <c r="C141" s="15">
        <v>1</v>
      </c>
      <c r="D141" s="35" t="s">
        <v>251</v>
      </c>
      <c r="E141" s="82">
        <v>222833</v>
      </c>
      <c r="F141" s="83">
        <v>45630</v>
      </c>
      <c r="G141" s="83">
        <v>45834</v>
      </c>
      <c r="H141" s="89" t="e">
        <f t="shared" ca="1" si="9"/>
        <v>#NAME?</v>
      </c>
      <c r="I141" s="6" t="s">
        <v>164</v>
      </c>
      <c r="J141" s="6">
        <v>222833</v>
      </c>
      <c r="K141" s="10">
        <v>45394</v>
      </c>
      <c r="L141" s="6" t="s">
        <v>237</v>
      </c>
      <c r="M141" s="5">
        <f t="shared" si="10"/>
        <v>315</v>
      </c>
      <c r="N141" s="6"/>
      <c r="O141" s="7"/>
      <c r="P141" s="10"/>
      <c r="Q141" s="6"/>
      <c r="R141" s="89">
        <f t="shared" si="3"/>
        <v>0</v>
      </c>
      <c r="S141" s="7"/>
      <c r="T141" s="15"/>
      <c r="U141" s="15"/>
      <c r="V141" s="15"/>
      <c r="W141" s="15"/>
      <c r="X141" s="102"/>
      <c r="Y141" s="102"/>
      <c r="Z141" s="102"/>
      <c r="AA141" s="102"/>
      <c r="AB141" s="103"/>
      <c r="AC141" s="6"/>
      <c r="AD141" s="7"/>
      <c r="AE141" s="10"/>
      <c r="AF141" s="6"/>
      <c r="AG141" s="104"/>
      <c r="AH141" s="104"/>
      <c r="AI141" s="104"/>
      <c r="AJ141" s="104"/>
      <c r="AK141" s="104"/>
      <c r="AL141" s="104"/>
      <c r="AM141" s="104"/>
      <c r="AN141" s="104"/>
      <c r="AO141" s="104"/>
      <c r="AP141" s="104"/>
      <c r="AQ141" s="104"/>
    </row>
    <row r="142" spans="1:43" ht="15.75" customHeight="1">
      <c r="A142" s="18" t="s">
        <v>139</v>
      </c>
      <c r="B142" s="15" t="s">
        <v>160</v>
      </c>
      <c r="C142" s="15">
        <v>1</v>
      </c>
      <c r="D142" s="35" t="s">
        <v>13</v>
      </c>
      <c r="E142" s="82">
        <v>266619</v>
      </c>
      <c r="F142" s="63" t="s">
        <v>246</v>
      </c>
      <c r="G142" s="83">
        <v>45761</v>
      </c>
      <c r="H142" s="89" t="e">
        <f t="shared" ca="1" si="9"/>
        <v>#NAME?</v>
      </c>
      <c r="I142" s="6" t="s">
        <v>164</v>
      </c>
      <c r="J142" s="6">
        <v>222833</v>
      </c>
      <c r="K142" s="10">
        <v>45394</v>
      </c>
      <c r="L142" s="6" t="s">
        <v>237</v>
      </c>
      <c r="M142" s="5">
        <f t="shared" si="10"/>
        <v>315</v>
      </c>
      <c r="N142" s="6"/>
      <c r="O142" s="6"/>
      <c r="P142" s="10"/>
      <c r="Q142" s="33"/>
      <c r="R142" s="89">
        <f t="shared" si="3"/>
        <v>0</v>
      </c>
      <c r="S142" s="7"/>
      <c r="T142" s="15"/>
      <c r="U142" s="15"/>
      <c r="V142" s="15"/>
      <c r="W142" s="15"/>
      <c r="X142" s="102"/>
      <c r="Y142" s="102"/>
      <c r="Z142" s="102"/>
      <c r="AA142" s="102"/>
      <c r="AB142" s="103"/>
      <c r="AC142" s="6"/>
      <c r="AD142" s="6"/>
      <c r="AE142" s="10"/>
      <c r="AF142" s="33"/>
      <c r="AG142" s="104"/>
      <c r="AH142" s="104"/>
      <c r="AI142" s="104"/>
      <c r="AJ142" s="104"/>
      <c r="AK142" s="104"/>
      <c r="AL142" s="104"/>
      <c r="AM142" s="104"/>
      <c r="AN142" s="104"/>
      <c r="AO142" s="104"/>
      <c r="AP142" s="104"/>
      <c r="AQ142" s="104"/>
    </row>
    <row r="143" spans="1:43" ht="15.75" customHeight="1">
      <c r="A143" s="18" t="s">
        <v>139</v>
      </c>
      <c r="B143" s="15" t="s">
        <v>161</v>
      </c>
      <c r="C143" s="15">
        <v>1</v>
      </c>
      <c r="D143" s="35" t="s">
        <v>257</v>
      </c>
      <c r="E143" s="82">
        <v>336979</v>
      </c>
      <c r="F143" s="83">
        <v>45881</v>
      </c>
      <c r="G143" s="83">
        <v>45889</v>
      </c>
      <c r="H143" s="89" t="e">
        <f t="shared" ca="1" si="9"/>
        <v>#NAME?</v>
      </c>
      <c r="I143" s="35" t="s">
        <v>280</v>
      </c>
      <c r="J143" s="82">
        <v>274667</v>
      </c>
      <c r="K143" s="83">
        <v>45761</v>
      </c>
      <c r="L143" s="33">
        <v>45879</v>
      </c>
      <c r="M143" s="5">
        <f t="shared" si="10"/>
        <v>85</v>
      </c>
      <c r="N143" s="15" t="s">
        <v>258</v>
      </c>
      <c r="O143" s="15">
        <v>266619</v>
      </c>
      <c r="P143" s="15" t="s">
        <v>246</v>
      </c>
      <c r="Q143" s="33">
        <v>45665</v>
      </c>
      <c r="R143" s="89">
        <f t="shared" si="3"/>
        <v>-45665</v>
      </c>
      <c r="S143" s="6" t="s">
        <v>164</v>
      </c>
      <c r="T143" s="6">
        <v>222833</v>
      </c>
      <c r="U143" s="10">
        <v>45394</v>
      </c>
      <c r="V143" s="6" t="s">
        <v>237</v>
      </c>
      <c r="W143" s="15"/>
      <c r="X143" s="102"/>
      <c r="Y143" s="102"/>
      <c r="Z143" s="102"/>
      <c r="AA143" s="102"/>
      <c r="AB143" s="103"/>
      <c r="AC143" s="15"/>
      <c r="AD143" s="15"/>
      <c r="AE143" s="33"/>
      <c r="AF143" s="33"/>
      <c r="AG143" s="104"/>
      <c r="AH143" s="104"/>
      <c r="AI143" s="104"/>
      <c r="AJ143" s="104"/>
      <c r="AK143" s="104"/>
      <c r="AL143" s="104"/>
      <c r="AM143" s="104"/>
      <c r="AN143" s="104"/>
      <c r="AO143" s="104"/>
      <c r="AP143" s="104"/>
      <c r="AQ143" s="104"/>
    </row>
    <row r="144" spans="1:43" ht="15.75" customHeight="1">
      <c r="A144" s="18" t="s">
        <v>139</v>
      </c>
      <c r="B144" s="15" t="s">
        <v>162</v>
      </c>
      <c r="C144" s="15">
        <v>1</v>
      </c>
      <c r="D144" s="70" t="s">
        <v>248</v>
      </c>
      <c r="E144" s="48">
        <v>174015</v>
      </c>
      <c r="F144" s="70" t="s">
        <v>249</v>
      </c>
      <c r="G144" s="34" t="s">
        <v>256</v>
      </c>
      <c r="H144" s="89" t="e">
        <f t="shared" ca="1" si="9"/>
        <v>#NAME?</v>
      </c>
      <c r="I144" s="35" t="s">
        <v>281</v>
      </c>
      <c r="J144" s="82">
        <v>359572</v>
      </c>
      <c r="K144" s="83">
        <v>45957</v>
      </c>
      <c r="L144" s="83">
        <v>45961</v>
      </c>
      <c r="M144" s="5">
        <f t="shared" si="10"/>
        <v>5</v>
      </c>
      <c r="N144" s="35" t="s">
        <v>257</v>
      </c>
      <c r="O144" s="82">
        <v>336979</v>
      </c>
      <c r="P144" s="83">
        <v>45881</v>
      </c>
      <c r="Q144" s="87">
        <v>45940</v>
      </c>
      <c r="R144" s="89">
        <f t="shared" si="3"/>
        <v>-45940</v>
      </c>
      <c r="S144" s="35" t="s">
        <v>266</v>
      </c>
      <c r="T144" s="35">
        <v>318884</v>
      </c>
      <c r="U144" s="66">
        <v>45845</v>
      </c>
      <c r="V144" s="34" t="s">
        <v>211</v>
      </c>
      <c r="W144" s="15"/>
      <c r="X144" s="6" t="s">
        <v>164</v>
      </c>
      <c r="Y144" s="6">
        <v>222833</v>
      </c>
      <c r="Z144" s="10">
        <v>45394</v>
      </c>
      <c r="AA144" s="6" t="s">
        <v>237</v>
      </c>
      <c r="AB144" s="103"/>
      <c r="AC144" s="15"/>
      <c r="AD144" s="15"/>
      <c r="AE144" s="33"/>
      <c r="AF144" s="33"/>
      <c r="AG144" s="104"/>
      <c r="AH144" s="104"/>
      <c r="AI144" s="104"/>
      <c r="AJ144" s="104"/>
      <c r="AK144" s="104"/>
      <c r="AL144" s="104"/>
      <c r="AM144" s="104"/>
      <c r="AN144" s="104"/>
      <c r="AO144" s="104"/>
      <c r="AP144" s="104"/>
      <c r="AQ144" s="104"/>
    </row>
    <row r="145" spans="1:43" ht="15.75" customHeight="1">
      <c r="A145" s="18" t="s">
        <v>139</v>
      </c>
      <c r="B145" s="15" t="s">
        <v>163</v>
      </c>
      <c r="C145" s="15">
        <v>1</v>
      </c>
      <c r="D145" s="35" t="s">
        <v>280</v>
      </c>
      <c r="E145" s="82">
        <v>274667</v>
      </c>
      <c r="F145" s="83">
        <v>45761</v>
      </c>
      <c r="G145" s="83">
        <v>45947</v>
      </c>
      <c r="H145" s="89" t="e">
        <f t="shared" ca="1" si="9"/>
        <v>#NAME?</v>
      </c>
      <c r="I145" s="35" t="s">
        <v>156</v>
      </c>
      <c r="J145" s="35">
        <v>291425</v>
      </c>
      <c r="K145" s="66" t="s">
        <v>221</v>
      </c>
      <c r="L145" s="15" t="s">
        <v>282</v>
      </c>
      <c r="M145" s="5">
        <f t="shared" si="10"/>
        <v>28</v>
      </c>
      <c r="N145" s="6" t="s">
        <v>259</v>
      </c>
      <c r="O145" s="6">
        <v>306488</v>
      </c>
      <c r="P145" s="14">
        <v>45906</v>
      </c>
      <c r="Q145" s="37">
        <v>45695</v>
      </c>
      <c r="R145" s="89">
        <f t="shared" si="3"/>
        <v>-45695</v>
      </c>
      <c r="S145" s="6" t="s">
        <v>164</v>
      </c>
      <c r="T145" s="6">
        <v>222833</v>
      </c>
      <c r="U145" s="10">
        <v>45394</v>
      </c>
      <c r="V145" s="6" t="s">
        <v>237</v>
      </c>
      <c r="W145" s="15"/>
      <c r="X145" s="102" t="s">
        <v>283</v>
      </c>
      <c r="Y145" s="102">
        <v>285162</v>
      </c>
      <c r="Z145" s="76">
        <v>45721</v>
      </c>
      <c r="AA145" s="76">
        <v>45926</v>
      </c>
      <c r="AB145" s="103"/>
      <c r="AC145" s="15"/>
      <c r="AD145" s="15"/>
      <c r="AE145" s="33"/>
      <c r="AF145" s="33"/>
      <c r="AG145" s="104"/>
      <c r="AH145" s="104"/>
      <c r="AI145" s="104"/>
      <c r="AJ145" s="104"/>
      <c r="AK145" s="104"/>
      <c r="AL145" s="104"/>
      <c r="AM145" s="104"/>
      <c r="AN145" s="104"/>
      <c r="AO145" s="104"/>
      <c r="AP145" s="104"/>
      <c r="AQ145" s="104"/>
    </row>
    <row r="146" spans="1:43" ht="15.75" customHeight="1">
      <c r="A146" s="18" t="s">
        <v>139</v>
      </c>
      <c r="B146" s="15" t="s">
        <v>165</v>
      </c>
      <c r="C146" s="15">
        <v>1</v>
      </c>
      <c r="D146" s="70" t="s">
        <v>238</v>
      </c>
      <c r="E146" s="34">
        <v>324426</v>
      </c>
      <c r="F146" s="70" t="s">
        <v>239</v>
      </c>
      <c r="G146" s="34" t="s">
        <v>284</v>
      </c>
      <c r="H146" s="89" t="e">
        <f t="shared" ca="1" si="9"/>
        <v>#NAME?</v>
      </c>
      <c r="I146" s="15" t="s">
        <v>258</v>
      </c>
      <c r="J146" s="15">
        <v>266619</v>
      </c>
      <c r="K146" s="15" t="s">
        <v>246</v>
      </c>
      <c r="L146" s="33">
        <v>45880</v>
      </c>
      <c r="M146" s="5">
        <f t="shared" si="10"/>
        <v>98</v>
      </c>
      <c r="N146" s="35" t="s">
        <v>251</v>
      </c>
      <c r="O146" s="82">
        <v>222833</v>
      </c>
      <c r="P146" s="83">
        <v>45630</v>
      </c>
      <c r="Q146" s="15" t="s">
        <v>285</v>
      </c>
      <c r="R146" s="89">
        <f t="shared" si="3"/>
        <v>-45916</v>
      </c>
      <c r="S146" s="6" t="s">
        <v>164</v>
      </c>
      <c r="T146" s="6">
        <v>222833</v>
      </c>
      <c r="U146" s="10">
        <v>45394</v>
      </c>
      <c r="V146" s="6" t="s">
        <v>237</v>
      </c>
      <c r="W146" s="15"/>
      <c r="X146" s="102" t="s">
        <v>286</v>
      </c>
      <c r="Y146" s="102">
        <v>234919</v>
      </c>
      <c r="Z146" s="51">
        <v>45670</v>
      </c>
      <c r="AA146" s="36">
        <v>45980</v>
      </c>
      <c r="AB146" s="103"/>
      <c r="AC146" s="13" t="s">
        <v>156</v>
      </c>
      <c r="AD146" s="13">
        <v>291425</v>
      </c>
      <c r="AE146" s="48" t="s">
        <v>287</v>
      </c>
      <c r="AF146" s="17">
        <v>45912</v>
      </c>
      <c r="AG146" s="104"/>
      <c r="AH146" s="104"/>
      <c r="AI146" s="104"/>
      <c r="AJ146" s="104"/>
      <c r="AK146" s="104"/>
      <c r="AL146" s="104"/>
      <c r="AM146" s="104"/>
      <c r="AN146" s="104"/>
      <c r="AO146" s="104"/>
      <c r="AP146" s="104"/>
      <c r="AQ146" s="104"/>
    </row>
    <row r="147" spans="1:43" ht="15.75" customHeight="1">
      <c r="B147" s="91"/>
      <c r="D147" s="59"/>
      <c r="F147" s="92"/>
      <c r="G147" s="77"/>
      <c r="K147" s="93"/>
      <c r="L147" s="94"/>
      <c r="M147" s="94"/>
      <c r="P147" s="92"/>
      <c r="Q147" s="77"/>
      <c r="R147" s="77"/>
    </row>
    <row r="148" spans="1:43" ht="15.75" customHeight="1">
      <c r="B148" s="91"/>
      <c r="D148" s="59"/>
      <c r="F148" s="92"/>
      <c r="G148" s="77"/>
      <c r="K148" s="93"/>
      <c r="L148" s="94"/>
      <c r="M148" s="94"/>
      <c r="P148" s="92"/>
      <c r="Q148" s="77"/>
      <c r="R148" s="77"/>
    </row>
    <row r="149" spans="1:43" ht="15.75" customHeight="1">
      <c r="B149" s="91"/>
      <c r="D149" s="59"/>
      <c r="F149" s="92"/>
      <c r="G149" s="77"/>
      <c r="K149" s="93"/>
      <c r="L149" s="94"/>
      <c r="M149" s="94"/>
      <c r="P149" s="92"/>
      <c r="Q149" s="77"/>
      <c r="R149" s="77"/>
    </row>
    <row r="150" spans="1:43" ht="15.75" customHeight="1">
      <c r="B150" s="91"/>
      <c r="D150" s="59"/>
      <c r="F150" s="92"/>
      <c r="G150" s="77"/>
      <c r="K150" s="93"/>
      <c r="L150" s="94"/>
      <c r="M150" s="94"/>
      <c r="P150" s="92"/>
      <c r="Q150" s="77"/>
      <c r="R150" s="77"/>
    </row>
    <row r="151" spans="1:43" ht="15.75" customHeight="1">
      <c r="B151" s="91"/>
      <c r="D151" s="59"/>
      <c r="F151" s="92"/>
      <c r="G151" s="77"/>
      <c r="K151" s="93"/>
      <c r="L151" s="94"/>
      <c r="M151" s="94"/>
      <c r="P151" s="92"/>
      <c r="Q151" s="77"/>
      <c r="R151" s="77"/>
    </row>
    <row r="152" spans="1:43" ht="15.75" customHeight="1">
      <c r="B152" s="91"/>
      <c r="D152" s="77"/>
      <c r="E152" s="77"/>
      <c r="F152" s="92"/>
      <c r="G152" s="77"/>
      <c r="K152" s="93"/>
      <c r="L152" s="94"/>
      <c r="M152" s="94"/>
      <c r="P152" s="92"/>
      <c r="Q152" s="77"/>
      <c r="R152" s="77"/>
    </row>
    <row r="153" spans="1:43" ht="15.75" customHeight="1">
      <c r="B153" s="91"/>
      <c r="D153" s="77"/>
      <c r="E153" s="77"/>
      <c r="F153" s="92"/>
      <c r="G153" s="77"/>
      <c r="K153" s="93"/>
      <c r="L153" s="94"/>
      <c r="M153" s="94"/>
      <c r="P153" s="92"/>
      <c r="Q153" s="77"/>
      <c r="R153" s="77"/>
    </row>
    <row r="154" spans="1:43" ht="15.75" customHeight="1">
      <c r="B154" s="91"/>
      <c r="D154" s="78"/>
      <c r="E154" s="78"/>
      <c r="F154" s="79"/>
      <c r="G154" s="79"/>
      <c r="H154" s="50"/>
      <c r="K154" s="93"/>
      <c r="L154" s="94"/>
      <c r="M154" s="94"/>
      <c r="P154" s="92"/>
      <c r="Q154" s="77"/>
      <c r="R154" s="77"/>
    </row>
    <row r="155" spans="1:43" ht="15.75" customHeight="1">
      <c r="B155" s="91"/>
      <c r="D155" s="77"/>
      <c r="E155" s="77"/>
      <c r="F155" s="92"/>
      <c r="G155" s="77"/>
      <c r="K155" s="93"/>
      <c r="L155" s="94"/>
      <c r="M155" s="94"/>
      <c r="P155" s="92"/>
      <c r="Q155" s="77"/>
      <c r="R155" s="77"/>
    </row>
    <row r="156" spans="1:43" ht="15.75" customHeight="1">
      <c r="B156" s="91"/>
      <c r="D156" s="77"/>
      <c r="E156" s="77"/>
      <c r="F156" s="92"/>
      <c r="G156" s="77"/>
      <c r="K156" s="93"/>
      <c r="L156" s="94"/>
      <c r="M156" s="94"/>
      <c r="P156" s="92"/>
      <c r="Q156" s="77"/>
      <c r="R156" s="77"/>
    </row>
    <row r="157" spans="1:43" ht="15.75" customHeight="1">
      <c r="B157" s="91"/>
      <c r="D157" s="77"/>
      <c r="E157" s="77"/>
      <c r="F157" s="92"/>
      <c r="G157" s="77"/>
      <c r="K157" s="93"/>
      <c r="L157" s="94"/>
      <c r="M157" s="94"/>
      <c r="P157" s="92"/>
      <c r="Q157" s="77"/>
      <c r="R157" s="77"/>
    </row>
    <row r="158" spans="1:43" ht="15.75" customHeight="1">
      <c r="B158" s="91"/>
      <c r="D158" s="77"/>
      <c r="E158" s="77"/>
      <c r="F158" s="92"/>
      <c r="G158" s="77"/>
      <c r="K158" s="93"/>
      <c r="L158" s="94"/>
      <c r="M158" s="94"/>
      <c r="P158" s="92"/>
      <c r="Q158" s="77"/>
      <c r="R158" s="77"/>
    </row>
    <row r="159" spans="1:43" ht="15.75" customHeight="1">
      <c r="B159" s="91"/>
      <c r="D159" s="77"/>
      <c r="E159" s="77"/>
      <c r="F159" s="92"/>
      <c r="G159" s="77"/>
      <c r="K159" s="93"/>
      <c r="L159" s="94"/>
      <c r="M159" s="94"/>
      <c r="P159" s="92"/>
      <c r="Q159" s="77"/>
      <c r="R159" s="77"/>
    </row>
    <row r="160" spans="1:43" ht="15.75" customHeight="1">
      <c r="B160" s="91"/>
      <c r="D160" s="77"/>
      <c r="E160" s="77"/>
      <c r="F160" s="92"/>
      <c r="G160" s="77"/>
      <c r="K160" s="93"/>
      <c r="L160" s="94"/>
      <c r="M160" s="94"/>
      <c r="P160" s="92"/>
      <c r="Q160" s="77"/>
      <c r="R160" s="77"/>
    </row>
    <row r="161" spans="2:18" ht="15.75" customHeight="1">
      <c r="B161" s="91"/>
      <c r="D161" s="77"/>
      <c r="E161" s="77"/>
      <c r="F161" s="92"/>
      <c r="G161" s="77"/>
      <c r="K161" s="93"/>
      <c r="L161" s="94"/>
      <c r="M161" s="94"/>
      <c r="P161" s="92"/>
      <c r="Q161" s="77"/>
      <c r="R161" s="77"/>
    </row>
    <row r="162" spans="2:18" ht="15.75" customHeight="1">
      <c r="B162" s="91"/>
      <c r="D162" s="77"/>
      <c r="E162" s="77"/>
      <c r="F162" s="92"/>
      <c r="G162" s="77"/>
      <c r="K162" s="93"/>
      <c r="L162" s="94"/>
      <c r="M162" s="94"/>
      <c r="P162" s="92"/>
      <c r="Q162" s="77"/>
      <c r="R162" s="77"/>
    </row>
    <row r="163" spans="2:18" ht="15.75" customHeight="1">
      <c r="B163" s="91"/>
      <c r="D163" s="77"/>
      <c r="E163" s="77"/>
      <c r="F163" s="92"/>
      <c r="G163" s="77"/>
      <c r="K163" s="93"/>
      <c r="L163" s="94"/>
      <c r="M163" s="94"/>
      <c r="P163" s="92"/>
      <c r="Q163" s="77"/>
      <c r="R163" s="77"/>
    </row>
    <row r="164" spans="2:18" ht="15.75" customHeight="1">
      <c r="B164" s="91"/>
      <c r="D164" s="77"/>
      <c r="E164" s="77"/>
      <c r="F164" s="92"/>
      <c r="G164" s="77"/>
      <c r="K164" s="93"/>
      <c r="L164" s="94"/>
      <c r="M164" s="94"/>
      <c r="P164" s="92"/>
      <c r="Q164" s="77"/>
      <c r="R164" s="77"/>
    </row>
    <row r="165" spans="2:18" ht="15.75" customHeight="1">
      <c r="B165" s="91"/>
      <c r="D165" s="77"/>
      <c r="E165" s="77"/>
      <c r="F165" s="92"/>
      <c r="G165" s="77"/>
      <c r="K165" s="93"/>
      <c r="L165" s="94"/>
      <c r="M165" s="94"/>
      <c r="P165" s="92"/>
      <c r="Q165" s="77"/>
      <c r="R165" s="77"/>
    </row>
    <row r="166" spans="2:18" ht="15.75" customHeight="1">
      <c r="B166" s="91"/>
      <c r="D166" s="77"/>
      <c r="E166" s="77"/>
      <c r="F166" s="92"/>
      <c r="G166" s="77"/>
      <c r="K166" s="93"/>
      <c r="L166" s="94"/>
      <c r="M166" s="94"/>
      <c r="P166" s="92"/>
      <c r="Q166" s="77"/>
      <c r="R166" s="77"/>
    </row>
    <row r="167" spans="2:18" ht="15.75" customHeight="1">
      <c r="B167" s="91"/>
      <c r="D167" s="77"/>
      <c r="E167" s="77"/>
      <c r="F167" s="92"/>
      <c r="G167" s="77"/>
      <c r="K167" s="93"/>
      <c r="L167" s="94"/>
      <c r="M167" s="94"/>
      <c r="P167" s="92"/>
      <c r="Q167" s="77"/>
      <c r="R167" s="77"/>
    </row>
    <row r="168" spans="2:18" ht="15.75" customHeight="1">
      <c r="B168" s="91"/>
      <c r="D168" s="77"/>
      <c r="E168" s="77"/>
      <c r="F168" s="92"/>
      <c r="G168" s="77"/>
      <c r="K168" s="93"/>
      <c r="L168" s="94"/>
      <c r="M168" s="94"/>
      <c r="P168" s="92"/>
      <c r="Q168" s="77"/>
      <c r="R168" s="77"/>
    </row>
    <row r="169" spans="2:18" ht="15.75" customHeight="1">
      <c r="B169" s="91"/>
      <c r="D169" s="77"/>
      <c r="E169" s="77"/>
      <c r="F169" s="92"/>
      <c r="G169" s="77"/>
      <c r="K169" s="93"/>
      <c r="L169" s="94"/>
      <c r="M169" s="94"/>
      <c r="P169" s="92"/>
      <c r="Q169" s="77"/>
      <c r="R169" s="77"/>
    </row>
    <row r="170" spans="2:18" ht="15.75" customHeight="1">
      <c r="B170" s="91"/>
      <c r="D170" s="77"/>
      <c r="E170" s="77"/>
      <c r="F170" s="92"/>
      <c r="G170" s="77"/>
      <c r="K170" s="93"/>
      <c r="L170" s="94"/>
      <c r="M170" s="94"/>
      <c r="P170" s="92"/>
      <c r="Q170" s="77"/>
      <c r="R170" s="77"/>
    </row>
    <row r="171" spans="2:18" ht="15.75" customHeight="1">
      <c r="B171" s="91"/>
      <c r="D171" s="77"/>
      <c r="E171" s="77"/>
      <c r="F171" s="92"/>
      <c r="G171" s="77"/>
      <c r="K171" s="93"/>
      <c r="L171" s="94"/>
      <c r="M171" s="94"/>
      <c r="P171" s="92"/>
      <c r="Q171" s="77"/>
      <c r="R171" s="77"/>
    </row>
    <row r="172" spans="2:18" ht="15.75" customHeight="1">
      <c r="B172" s="91"/>
      <c r="D172" s="77"/>
      <c r="E172" s="77"/>
      <c r="F172" s="92"/>
      <c r="G172" s="77"/>
      <c r="K172" s="93"/>
      <c r="L172" s="94"/>
      <c r="M172" s="94"/>
      <c r="P172" s="92"/>
      <c r="Q172" s="77"/>
      <c r="R172" s="77"/>
    </row>
    <row r="173" spans="2:18" ht="15.75" customHeight="1">
      <c r="B173" s="91"/>
      <c r="D173" s="77"/>
      <c r="E173" s="77"/>
      <c r="F173" s="92"/>
      <c r="G173" s="77"/>
      <c r="K173" s="93"/>
      <c r="L173" s="94"/>
      <c r="M173" s="94"/>
      <c r="P173" s="92"/>
      <c r="Q173" s="77"/>
      <c r="R173" s="77"/>
    </row>
    <row r="174" spans="2:18" ht="15.75" customHeight="1">
      <c r="B174" s="91"/>
      <c r="D174" s="77"/>
      <c r="E174" s="77"/>
      <c r="F174" s="92"/>
      <c r="G174" s="77"/>
      <c r="K174" s="93"/>
      <c r="L174" s="94"/>
      <c r="M174" s="94"/>
      <c r="P174" s="92"/>
      <c r="Q174" s="77"/>
      <c r="R174" s="77"/>
    </row>
    <row r="175" spans="2:18" ht="15.75" customHeight="1">
      <c r="B175" s="91"/>
      <c r="D175" s="77"/>
      <c r="E175" s="77"/>
      <c r="F175" s="92"/>
      <c r="G175" s="77"/>
      <c r="K175" s="93"/>
      <c r="L175" s="94"/>
      <c r="M175" s="94"/>
      <c r="P175" s="92"/>
      <c r="Q175" s="77"/>
      <c r="R175" s="77"/>
    </row>
    <row r="176" spans="2:18" ht="15.75" customHeight="1">
      <c r="B176" s="91"/>
      <c r="D176" s="77"/>
      <c r="E176" s="77"/>
      <c r="F176" s="92"/>
      <c r="G176" s="77"/>
      <c r="K176" s="93"/>
      <c r="L176" s="94"/>
      <c r="M176" s="94"/>
      <c r="P176" s="92"/>
      <c r="Q176" s="77"/>
      <c r="R176" s="77"/>
    </row>
    <row r="177" spans="2:18" ht="15.75" customHeight="1">
      <c r="B177" s="91"/>
      <c r="D177" s="77"/>
      <c r="E177" s="77"/>
      <c r="F177" s="92"/>
      <c r="G177" s="77"/>
      <c r="K177" s="93"/>
      <c r="L177" s="94"/>
      <c r="M177" s="94"/>
      <c r="P177" s="92"/>
      <c r="Q177" s="77"/>
      <c r="R177" s="77"/>
    </row>
    <row r="178" spans="2:18" ht="15.75" customHeight="1">
      <c r="B178" s="91"/>
      <c r="D178" s="77"/>
      <c r="E178" s="77"/>
      <c r="F178" s="92"/>
      <c r="G178" s="77"/>
      <c r="K178" s="93"/>
      <c r="L178" s="94"/>
      <c r="M178" s="94"/>
      <c r="P178" s="92"/>
      <c r="Q178" s="77"/>
      <c r="R178" s="77"/>
    </row>
    <row r="179" spans="2:18" ht="15.75" customHeight="1">
      <c r="B179" s="91"/>
      <c r="D179" s="77"/>
      <c r="E179" s="77"/>
      <c r="F179" s="92"/>
      <c r="G179" s="77"/>
      <c r="K179" s="93"/>
      <c r="L179" s="94"/>
      <c r="M179" s="94"/>
      <c r="P179" s="92"/>
      <c r="Q179" s="77"/>
      <c r="R179" s="77"/>
    </row>
    <row r="180" spans="2:18" ht="15.75" customHeight="1">
      <c r="B180" s="91"/>
      <c r="D180" s="59"/>
    </row>
    <row r="181" spans="2:18" ht="15.75" customHeight="1">
      <c r="B181" s="91"/>
      <c r="D181" s="77"/>
      <c r="E181" s="77"/>
      <c r="F181" s="92"/>
      <c r="G181" s="77"/>
      <c r="K181" s="93"/>
      <c r="L181" s="94"/>
      <c r="M181" s="94"/>
      <c r="P181" s="92"/>
      <c r="Q181" s="77"/>
      <c r="R181" s="77"/>
    </row>
    <row r="182" spans="2:18" ht="15.75" customHeight="1">
      <c r="B182" s="91"/>
      <c r="D182" s="77"/>
      <c r="E182" s="77"/>
      <c r="F182" s="92"/>
      <c r="G182" s="77"/>
      <c r="K182" s="93"/>
      <c r="L182" s="94"/>
      <c r="M182" s="94"/>
      <c r="P182" s="92"/>
      <c r="Q182" s="77"/>
      <c r="R182" s="77"/>
    </row>
    <row r="183" spans="2:18" ht="15.75" customHeight="1">
      <c r="B183" s="91"/>
      <c r="D183" s="77"/>
      <c r="E183" s="77"/>
      <c r="F183" s="92"/>
      <c r="G183" s="77"/>
      <c r="K183" s="93"/>
      <c r="L183" s="94"/>
      <c r="M183" s="94"/>
      <c r="P183" s="92"/>
      <c r="Q183" s="77"/>
      <c r="R183" s="77"/>
    </row>
    <row r="184" spans="2:18" ht="15.75" customHeight="1">
      <c r="B184" s="91"/>
      <c r="D184" s="77"/>
      <c r="E184" s="77"/>
      <c r="F184" s="92"/>
      <c r="G184" s="77"/>
      <c r="K184" s="93"/>
      <c r="L184" s="94"/>
      <c r="M184" s="94"/>
      <c r="P184" s="92"/>
      <c r="Q184" s="77"/>
      <c r="R184" s="77"/>
    </row>
    <row r="185" spans="2:18" ht="15.75" customHeight="1">
      <c r="B185" s="91"/>
      <c r="D185" s="77"/>
      <c r="E185" s="77"/>
      <c r="F185" s="92"/>
      <c r="G185" s="77"/>
      <c r="K185" s="93"/>
      <c r="L185" s="94"/>
      <c r="M185" s="94"/>
      <c r="P185" s="92"/>
      <c r="Q185" s="77"/>
      <c r="R185" s="77"/>
    </row>
    <row r="186" spans="2:18" ht="15.75" customHeight="1">
      <c r="B186" s="91"/>
      <c r="D186" s="77"/>
      <c r="E186" s="77"/>
      <c r="F186" s="92"/>
      <c r="G186" s="77"/>
      <c r="K186" s="93"/>
      <c r="L186" s="94"/>
      <c r="M186" s="94"/>
      <c r="P186" s="92"/>
      <c r="Q186" s="77"/>
      <c r="R186" s="77"/>
    </row>
    <row r="187" spans="2:18" ht="15.75" customHeight="1">
      <c r="B187" s="91"/>
      <c r="D187" s="77"/>
      <c r="E187" s="77"/>
      <c r="F187" s="92"/>
      <c r="G187" s="77"/>
      <c r="K187" s="93"/>
      <c r="L187" s="94"/>
      <c r="M187" s="94"/>
      <c r="P187" s="92"/>
      <c r="Q187" s="77"/>
      <c r="R187" s="77"/>
    </row>
    <row r="188" spans="2:18" ht="15.75" customHeight="1">
      <c r="B188" s="91"/>
      <c r="D188" s="77"/>
      <c r="E188" s="77"/>
      <c r="F188" s="92"/>
      <c r="G188" s="77"/>
      <c r="K188" s="93"/>
      <c r="L188" s="94"/>
      <c r="M188" s="94"/>
      <c r="P188" s="92"/>
      <c r="Q188" s="77"/>
      <c r="R188" s="77"/>
    </row>
    <row r="189" spans="2:18" ht="15.75" customHeight="1">
      <c r="B189" s="91"/>
      <c r="D189" s="77"/>
      <c r="E189" s="77"/>
      <c r="F189" s="92"/>
      <c r="G189" s="77"/>
      <c r="K189" s="93"/>
      <c r="L189" s="94"/>
      <c r="M189" s="94"/>
      <c r="P189" s="92"/>
      <c r="Q189" s="77"/>
      <c r="R189" s="77"/>
    </row>
    <row r="190" spans="2:18" ht="15.75" customHeight="1">
      <c r="B190" s="91"/>
      <c r="D190" s="77"/>
      <c r="E190" s="77"/>
      <c r="F190" s="92"/>
      <c r="G190" s="77"/>
      <c r="K190" s="93"/>
      <c r="L190" s="94"/>
      <c r="M190" s="94"/>
      <c r="P190" s="92"/>
      <c r="Q190" s="77"/>
      <c r="R190" s="77"/>
    </row>
    <row r="191" spans="2:18" ht="15.75" customHeight="1">
      <c r="B191" s="91"/>
      <c r="D191" s="77"/>
      <c r="E191" s="77"/>
      <c r="F191" s="92"/>
      <c r="G191" s="77"/>
      <c r="K191" s="93"/>
      <c r="L191" s="94"/>
      <c r="M191" s="94"/>
      <c r="P191" s="92"/>
      <c r="Q191" s="77"/>
      <c r="R191" s="77"/>
    </row>
    <row r="192" spans="2:18" ht="15.75" customHeight="1">
      <c r="B192" s="91"/>
      <c r="D192" s="77"/>
      <c r="E192" s="77"/>
      <c r="F192" s="92"/>
      <c r="G192" s="77"/>
      <c r="K192" s="93"/>
      <c r="L192" s="94"/>
      <c r="M192" s="94"/>
      <c r="P192" s="92"/>
      <c r="Q192" s="77"/>
      <c r="R192" s="77"/>
    </row>
    <row r="193" spans="2:18" ht="15.75" customHeight="1">
      <c r="B193" s="91"/>
      <c r="D193" s="77"/>
      <c r="E193" s="77"/>
      <c r="F193" s="92"/>
      <c r="G193" s="77"/>
      <c r="K193" s="93"/>
      <c r="L193" s="94"/>
      <c r="M193" s="94"/>
      <c r="P193" s="92"/>
      <c r="Q193" s="77"/>
      <c r="R193" s="77"/>
    </row>
    <row r="194" spans="2:18" ht="15.75" customHeight="1">
      <c r="B194" s="91"/>
      <c r="D194" s="77"/>
      <c r="E194" s="77"/>
      <c r="F194" s="92"/>
      <c r="G194" s="77"/>
      <c r="K194" s="93"/>
      <c r="L194" s="94"/>
      <c r="M194" s="94"/>
      <c r="P194" s="92"/>
      <c r="Q194" s="77"/>
      <c r="R194" s="77"/>
    </row>
    <row r="195" spans="2:18" ht="15.75" customHeight="1">
      <c r="B195" s="91"/>
      <c r="D195" s="77"/>
      <c r="E195" s="77"/>
      <c r="F195" s="92"/>
      <c r="G195" s="77"/>
      <c r="K195" s="93"/>
      <c r="L195" s="94"/>
      <c r="M195" s="94"/>
      <c r="P195" s="92"/>
      <c r="Q195" s="77"/>
      <c r="R195" s="77"/>
    </row>
    <row r="196" spans="2:18" ht="15.75" customHeight="1">
      <c r="B196" s="91"/>
      <c r="D196" s="77"/>
      <c r="E196" s="77"/>
      <c r="F196" s="92"/>
      <c r="G196" s="77"/>
      <c r="K196" s="93"/>
      <c r="L196" s="94"/>
      <c r="M196" s="94"/>
      <c r="P196" s="92"/>
      <c r="Q196" s="77"/>
      <c r="R196" s="77"/>
    </row>
    <row r="197" spans="2:18" ht="15.75" customHeight="1">
      <c r="B197" s="91"/>
      <c r="D197" s="77"/>
      <c r="E197" s="77"/>
      <c r="F197" s="92"/>
      <c r="G197" s="77"/>
      <c r="K197" s="93"/>
      <c r="L197" s="94"/>
      <c r="M197" s="94"/>
      <c r="P197" s="92"/>
      <c r="Q197" s="77"/>
      <c r="R197" s="77"/>
    </row>
    <row r="198" spans="2:18" ht="15.75" customHeight="1">
      <c r="B198" s="91"/>
      <c r="D198" s="77"/>
      <c r="E198" s="77"/>
      <c r="F198" s="92"/>
      <c r="G198" s="77"/>
      <c r="K198" s="93"/>
      <c r="L198" s="94"/>
      <c r="M198" s="94"/>
      <c r="P198" s="92"/>
      <c r="Q198" s="77"/>
      <c r="R198" s="77"/>
    </row>
    <row r="199" spans="2:18" ht="15.75" customHeight="1">
      <c r="B199" s="91"/>
      <c r="D199" s="77"/>
      <c r="E199" s="77"/>
      <c r="F199" s="92"/>
      <c r="G199" s="77"/>
      <c r="K199" s="93"/>
      <c r="L199" s="94"/>
      <c r="M199" s="94"/>
      <c r="P199" s="92"/>
      <c r="Q199" s="77"/>
      <c r="R199" s="77"/>
    </row>
    <row r="200" spans="2:18" ht="15.75" customHeight="1">
      <c r="B200" s="91"/>
      <c r="D200" s="77"/>
      <c r="E200" s="77"/>
      <c r="F200" s="92"/>
      <c r="G200" s="77"/>
      <c r="K200" s="93"/>
      <c r="L200" s="94"/>
      <c r="M200" s="94"/>
      <c r="P200" s="92"/>
      <c r="Q200" s="77"/>
      <c r="R200" s="77"/>
    </row>
    <row r="201" spans="2:18" ht="15.75" customHeight="1">
      <c r="B201" s="91"/>
      <c r="D201" s="77"/>
      <c r="E201" s="77"/>
      <c r="F201" s="92"/>
      <c r="G201" s="77"/>
      <c r="K201" s="93"/>
      <c r="L201" s="94"/>
      <c r="M201" s="94"/>
      <c r="P201" s="92"/>
      <c r="Q201" s="77"/>
      <c r="R201" s="77"/>
    </row>
    <row r="202" spans="2:18" ht="15.75" customHeight="1">
      <c r="B202" s="91"/>
      <c r="D202" s="77"/>
      <c r="E202" s="77"/>
      <c r="F202" s="92"/>
      <c r="G202" s="77"/>
      <c r="K202" s="93"/>
      <c r="L202" s="94"/>
      <c r="M202" s="94"/>
      <c r="P202" s="92"/>
      <c r="Q202" s="77"/>
      <c r="R202" s="77"/>
    </row>
    <row r="203" spans="2:18" ht="15.75" customHeight="1">
      <c r="B203" s="91"/>
      <c r="D203" s="77"/>
      <c r="E203" s="77"/>
      <c r="F203" s="92"/>
      <c r="G203" s="77"/>
      <c r="K203" s="93"/>
      <c r="L203" s="94"/>
      <c r="M203" s="94"/>
      <c r="P203" s="92"/>
      <c r="Q203" s="77"/>
      <c r="R203" s="77"/>
    </row>
    <row r="204" spans="2:18" ht="15.75" customHeight="1">
      <c r="B204" s="91"/>
      <c r="D204" s="77"/>
      <c r="E204" s="77"/>
      <c r="F204" s="92"/>
      <c r="G204" s="77"/>
      <c r="K204" s="93"/>
      <c r="L204" s="94"/>
      <c r="M204" s="94"/>
      <c r="P204" s="92"/>
      <c r="Q204" s="77"/>
      <c r="R204" s="77"/>
    </row>
    <row r="205" spans="2:18" ht="15.75" customHeight="1">
      <c r="B205" s="91"/>
      <c r="D205" s="77"/>
      <c r="E205" s="77"/>
      <c r="F205" s="92"/>
      <c r="G205" s="77"/>
      <c r="K205" s="93"/>
      <c r="L205" s="94"/>
      <c r="M205" s="94"/>
      <c r="P205" s="92"/>
      <c r="Q205" s="77"/>
      <c r="R205" s="77"/>
    </row>
    <row r="206" spans="2:18" ht="15.75" customHeight="1">
      <c r="B206" s="91"/>
      <c r="D206" s="77"/>
      <c r="E206" s="77"/>
      <c r="F206" s="92"/>
      <c r="G206" s="77"/>
      <c r="K206" s="93"/>
      <c r="L206" s="94"/>
      <c r="M206" s="94"/>
      <c r="P206" s="92"/>
      <c r="Q206" s="77"/>
      <c r="R206" s="77"/>
    </row>
    <row r="207" spans="2:18" ht="15.75" customHeight="1">
      <c r="B207" s="91"/>
      <c r="D207" s="77"/>
      <c r="E207" s="77"/>
      <c r="F207" s="92"/>
      <c r="G207" s="77"/>
      <c r="K207" s="93"/>
      <c r="L207" s="94"/>
      <c r="M207" s="94"/>
      <c r="P207" s="92"/>
      <c r="Q207" s="77"/>
      <c r="R207" s="77"/>
    </row>
    <row r="208" spans="2:18" ht="15.75" customHeight="1">
      <c r="B208" s="91"/>
      <c r="D208" s="77"/>
      <c r="E208" s="77"/>
      <c r="F208" s="92"/>
      <c r="G208" s="77"/>
      <c r="K208" s="93"/>
      <c r="L208" s="94"/>
      <c r="M208" s="94"/>
      <c r="P208" s="92"/>
      <c r="Q208" s="77"/>
      <c r="R208" s="77"/>
    </row>
    <row r="209" spans="2:18" ht="15.75" customHeight="1">
      <c r="B209" s="91"/>
      <c r="D209" s="77"/>
      <c r="E209" s="77"/>
      <c r="F209" s="92"/>
      <c r="G209" s="77"/>
      <c r="K209" s="93"/>
      <c r="L209" s="94"/>
      <c r="M209" s="94"/>
      <c r="P209" s="92"/>
      <c r="Q209" s="77"/>
      <c r="R209" s="77"/>
    </row>
    <row r="210" spans="2:18" ht="15.75" customHeight="1">
      <c r="B210" s="91"/>
      <c r="D210" s="77"/>
      <c r="E210" s="77"/>
      <c r="F210" s="92"/>
      <c r="G210" s="77"/>
      <c r="K210" s="93"/>
      <c r="L210" s="94"/>
      <c r="M210" s="94"/>
      <c r="P210" s="92"/>
      <c r="Q210" s="77"/>
      <c r="R210" s="77"/>
    </row>
    <row r="211" spans="2:18" ht="15.75" customHeight="1">
      <c r="B211" s="91"/>
      <c r="D211" s="77"/>
      <c r="E211" s="77"/>
      <c r="F211" s="92"/>
      <c r="G211" s="77"/>
      <c r="K211" s="93"/>
      <c r="L211" s="94"/>
      <c r="M211" s="94"/>
      <c r="P211" s="92"/>
      <c r="Q211" s="77"/>
      <c r="R211" s="77"/>
    </row>
    <row r="212" spans="2:18" ht="15.75" customHeight="1">
      <c r="B212" s="91"/>
      <c r="D212" s="77"/>
      <c r="E212" s="77"/>
      <c r="F212" s="92"/>
      <c r="G212" s="77"/>
      <c r="K212" s="93"/>
      <c r="L212" s="94"/>
      <c r="M212" s="94"/>
      <c r="P212" s="92"/>
      <c r="Q212" s="77"/>
      <c r="R212" s="77"/>
    </row>
    <row r="213" spans="2:18" ht="15.75" customHeight="1">
      <c r="B213" s="91"/>
      <c r="D213" s="77"/>
      <c r="E213" s="77"/>
      <c r="F213" s="92"/>
      <c r="G213" s="77"/>
      <c r="K213" s="93"/>
      <c r="L213" s="94"/>
      <c r="M213" s="94"/>
      <c r="P213" s="92"/>
      <c r="Q213" s="77"/>
      <c r="R213" s="77"/>
    </row>
    <row r="214" spans="2:18" ht="15.75" customHeight="1">
      <c r="B214" s="91"/>
      <c r="D214" s="77"/>
      <c r="E214" s="77"/>
      <c r="F214" s="92"/>
      <c r="G214" s="77"/>
      <c r="K214" s="93"/>
      <c r="L214" s="94"/>
      <c r="M214" s="94"/>
      <c r="P214" s="92"/>
      <c r="Q214" s="77"/>
      <c r="R214" s="77"/>
    </row>
    <row r="215" spans="2:18" ht="15.75" customHeight="1">
      <c r="B215" s="91"/>
      <c r="D215" s="77"/>
      <c r="E215" s="77"/>
      <c r="F215" s="92"/>
      <c r="G215" s="77"/>
      <c r="K215" s="93"/>
      <c r="L215" s="94"/>
      <c r="M215" s="94"/>
      <c r="P215" s="92"/>
      <c r="Q215" s="77"/>
      <c r="R215" s="77"/>
    </row>
    <row r="216" spans="2:18" ht="15.75" customHeight="1">
      <c r="B216" s="91"/>
      <c r="D216" s="77"/>
      <c r="E216" s="77"/>
      <c r="F216" s="92"/>
      <c r="G216" s="77"/>
      <c r="K216" s="93"/>
      <c r="L216" s="94"/>
      <c r="M216" s="94"/>
      <c r="P216" s="92"/>
      <c r="Q216" s="77"/>
      <c r="R216" s="77"/>
    </row>
    <row r="217" spans="2:18" ht="15.75" customHeight="1">
      <c r="B217" s="91"/>
      <c r="D217" s="77"/>
      <c r="E217" s="77"/>
      <c r="F217" s="92"/>
      <c r="G217" s="77"/>
      <c r="K217" s="93"/>
      <c r="L217" s="94"/>
      <c r="M217" s="94"/>
      <c r="P217" s="92"/>
      <c r="Q217" s="77"/>
      <c r="R217" s="77"/>
    </row>
    <row r="218" spans="2:18" ht="15.75" customHeight="1">
      <c r="B218" s="91"/>
      <c r="D218" s="77"/>
      <c r="E218" s="77"/>
      <c r="F218" s="92"/>
      <c r="G218" s="77"/>
      <c r="K218" s="93"/>
      <c r="L218" s="94"/>
      <c r="M218" s="94"/>
      <c r="P218" s="92"/>
      <c r="Q218" s="77"/>
      <c r="R218" s="77"/>
    </row>
    <row r="219" spans="2:18" ht="15.75" customHeight="1">
      <c r="B219" s="91"/>
      <c r="D219" s="77"/>
      <c r="E219" s="77"/>
      <c r="F219" s="92"/>
      <c r="G219" s="77"/>
      <c r="K219" s="93"/>
      <c r="L219" s="94"/>
      <c r="M219" s="94"/>
      <c r="P219" s="92"/>
      <c r="Q219" s="77"/>
      <c r="R219" s="77"/>
    </row>
    <row r="220" spans="2:18" ht="15.75" customHeight="1">
      <c r="B220" s="91"/>
      <c r="D220" s="77"/>
      <c r="E220" s="77"/>
      <c r="F220" s="92"/>
      <c r="G220" s="77"/>
      <c r="K220" s="93"/>
      <c r="L220" s="94"/>
      <c r="M220" s="94"/>
      <c r="P220" s="92"/>
      <c r="Q220" s="77"/>
      <c r="R220" s="77"/>
    </row>
    <row r="221" spans="2:18" ht="15.75" customHeight="1">
      <c r="B221" s="91"/>
      <c r="D221" s="77"/>
      <c r="E221" s="77"/>
      <c r="F221" s="92"/>
      <c r="G221" s="77"/>
      <c r="K221" s="93"/>
      <c r="L221" s="94"/>
      <c r="M221" s="94"/>
      <c r="P221" s="92"/>
      <c r="Q221" s="77"/>
      <c r="R221" s="77"/>
    </row>
    <row r="222" spans="2:18" ht="15.75" customHeight="1">
      <c r="B222" s="91"/>
      <c r="D222" s="77"/>
      <c r="E222" s="77"/>
      <c r="F222" s="92"/>
      <c r="G222" s="77"/>
      <c r="K222" s="93"/>
      <c r="L222" s="94"/>
      <c r="M222" s="94"/>
      <c r="P222" s="92"/>
      <c r="Q222" s="77"/>
      <c r="R222" s="77"/>
    </row>
    <row r="223" spans="2:18" ht="15.75" customHeight="1">
      <c r="B223" s="91"/>
      <c r="D223" s="77"/>
      <c r="E223" s="77"/>
      <c r="F223" s="92"/>
      <c r="G223" s="77"/>
      <c r="K223" s="93"/>
      <c r="L223" s="94"/>
      <c r="M223" s="94"/>
      <c r="P223" s="92"/>
      <c r="Q223" s="77"/>
      <c r="R223" s="77"/>
    </row>
    <row r="224" spans="2:18" ht="15.75" customHeight="1">
      <c r="B224" s="91"/>
      <c r="D224" s="77"/>
      <c r="E224" s="77"/>
      <c r="F224" s="92"/>
      <c r="G224" s="77"/>
      <c r="K224" s="93"/>
      <c r="L224" s="94"/>
      <c r="M224" s="94"/>
      <c r="P224" s="92"/>
      <c r="Q224" s="77"/>
      <c r="R224" s="77"/>
    </row>
    <row r="225" spans="2:18" ht="15.75" customHeight="1">
      <c r="B225" s="91"/>
      <c r="D225" s="77"/>
      <c r="E225" s="77"/>
      <c r="F225" s="92"/>
      <c r="G225" s="77"/>
      <c r="K225" s="93"/>
      <c r="L225" s="94"/>
      <c r="M225" s="94"/>
      <c r="P225" s="92"/>
      <c r="Q225" s="77"/>
      <c r="R225" s="77"/>
    </row>
    <row r="226" spans="2:18" ht="15.75" customHeight="1">
      <c r="B226" s="91"/>
      <c r="D226" s="77"/>
      <c r="E226" s="77"/>
      <c r="F226" s="92"/>
      <c r="G226" s="77"/>
      <c r="K226" s="93"/>
      <c r="L226" s="94"/>
      <c r="M226" s="94"/>
      <c r="P226" s="92"/>
      <c r="Q226" s="77"/>
      <c r="R226" s="77"/>
    </row>
    <row r="227" spans="2:18" ht="15.75" customHeight="1">
      <c r="B227" s="91"/>
      <c r="D227" s="77"/>
      <c r="E227" s="77"/>
      <c r="F227" s="92"/>
      <c r="G227" s="77"/>
      <c r="K227" s="93"/>
      <c r="L227" s="94"/>
      <c r="M227" s="94"/>
      <c r="P227" s="92"/>
      <c r="Q227" s="77"/>
      <c r="R227" s="77"/>
    </row>
    <row r="228" spans="2:18" ht="15.75" customHeight="1">
      <c r="B228" s="91"/>
      <c r="D228" s="77"/>
      <c r="E228" s="77"/>
      <c r="F228" s="92"/>
      <c r="G228" s="77"/>
      <c r="K228" s="93"/>
      <c r="L228" s="94"/>
      <c r="M228" s="94"/>
      <c r="P228" s="92"/>
      <c r="Q228" s="77"/>
      <c r="R228" s="77"/>
    </row>
    <row r="229" spans="2:18" ht="15.75" customHeight="1">
      <c r="B229" s="91"/>
      <c r="D229" s="77"/>
      <c r="E229" s="77"/>
      <c r="F229" s="92"/>
      <c r="G229" s="77"/>
      <c r="K229" s="93"/>
      <c r="L229" s="94"/>
      <c r="M229" s="94"/>
      <c r="P229" s="92"/>
      <c r="Q229" s="77"/>
      <c r="R229" s="77"/>
    </row>
    <row r="230" spans="2:18" ht="15.75" customHeight="1">
      <c r="B230" s="91"/>
      <c r="D230" s="77"/>
      <c r="E230" s="77"/>
      <c r="F230" s="92"/>
      <c r="G230" s="77"/>
      <c r="K230" s="93"/>
      <c r="L230" s="94"/>
      <c r="M230" s="94"/>
      <c r="P230" s="92"/>
      <c r="Q230" s="77"/>
      <c r="R230" s="77"/>
    </row>
    <row r="231" spans="2:18" ht="15.75" customHeight="1">
      <c r="B231" s="91"/>
      <c r="D231" s="77"/>
      <c r="E231" s="77"/>
      <c r="F231" s="92"/>
      <c r="G231" s="77"/>
      <c r="K231" s="93"/>
      <c r="L231" s="94"/>
      <c r="M231" s="94"/>
      <c r="P231" s="92"/>
      <c r="Q231" s="77"/>
      <c r="R231" s="77"/>
    </row>
    <row r="232" spans="2:18" ht="15.75" customHeight="1">
      <c r="B232" s="91"/>
      <c r="D232" s="77"/>
      <c r="E232" s="77"/>
      <c r="F232" s="92"/>
      <c r="G232" s="77"/>
      <c r="K232" s="93"/>
      <c r="L232" s="94"/>
      <c r="M232" s="94"/>
      <c r="P232" s="92"/>
      <c r="Q232" s="77"/>
      <c r="R232" s="77"/>
    </row>
    <row r="233" spans="2:18" ht="15.75" customHeight="1">
      <c r="B233" s="91"/>
      <c r="D233" s="77"/>
      <c r="E233" s="77"/>
      <c r="F233" s="92"/>
      <c r="G233" s="77"/>
      <c r="K233" s="93"/>
      <c r="L233" s="94"/>
      <c r="M233" s="94"/>
      <c r="P233" s="92"/>
      <c r="Q233" s="77"/>
      <c r="R233" s="77"/>
    </row>
    <row r="234" spans="2:18" ht="15.75" customHeight="1">
      <c r="B234" s="91"/>
      <c r="D234" s="77"/>
      <c r="E234" s="77"/>
      <c r="F234" s="92"/>
      <c r="G234" s="77"/>
      <c r="K234" s="93"/>
      <c r="L234" s="94"/>
      <c r="M234" s="94"/>
      <c r="P234" s="92"/>
      <c r="Q234" s="77"/>
      <c r="R234" s="77"/>
    </row>
    <row r="235" spans="2:18" ht="15.75" customHeight="1">
      <c r="B235" s="91"/>
      <c r="D235" s="77"/>
      <c r="E235" s="77"/>
      <c r="F235" s="92"/>
      <c r="G235" s="77"/>
      <c r="K235" s="93"/>
      <c r="L235" s="94"/>
      <c r="M235" s="94"/>
      <c r="P235" s="92"/>
      <c r="Q235" s="77"/>
      <c r="R235" s="77"/>
    </row>
    <row r="236" spans="2:18" ht="15.75" customHeight="1">
      <c r="B236" s="91"/>
      <c r="D236" s="77"/>
      <c r="E236" s="77"/>
      <c r="F236" s="92"/>
      <c r="G236" s="77"/>
      <c r="K236" s="93"/>
      <c r="L236" s="94"/>
      <c r="M236" s="94"/>
      <c r="P236" s="92"/>
      <c r="Q236" s="77"/>
      <c r="R236" s="77"/>
    </row>
    <row r="237" spans="2:18" ht="15.75" customHeight="1">
      <c r="B237" s="91"/>
      <c r="D237" s="77"/>
      <c r="E237" s="77"/>
      <c r="F237" s="92"/>
      <c r="G237" s="77"/>
      <c r="K237" s="93"/>
      <c r="L237" s="94"/>
      <c r="M237" s="94"/>
      <c r="P237" s="92"/>
      <c r="Q237" s="77"/>
      <c r="R237" s="77"/>
    </row>
    <row r="238" spans="2:18" ht="15.75" customHeight="1">
      <c r="B238" s="91"/>
      <c r="D238" s="77"/>
      <c r="E238" s="77"/>
      <c r="F238" s="92"/>
      <c r="G238" s="77"/>
      <c r="K238" s="93"/>
      <c r="L238" s="94"/>
      <c r="M238" s="94"/>
      <c r="P238" s="92"/>
      <c r="Q238" s="77"/>
      <c r="R238" s="77"/>
    </row>
    <row r="239" spans="2:18" ht="15.75" customHeight="1">
      <c r="B239" s="91"/>
      <c r="D239" s="77"/>
      <c r="E239" s="77"/>
      <c r="F239" s="92"/>
      <c r="G239" s="77"/>
      <c r="K239" s="93"/>
      <c r="L239" s="94"/>
      <c r="M239" s="94"/>
      <c r="P239" s="92"/>
      <c r="Q239" s="77"/>
      <c r="R239" s="77"/>
    </row>
    <row r="240" spans="2:18" ht="15.75" customHeight="1">
      <c r="B240" s="91"/>
      <c r="D240" s="77"/>
      <c r="E240" s="77"/>
      <c r="F240" s="92"/>
      <c r="G240" s="77"/>
      <c r="K240" s="93"/>
      <c r="L240" s="94"/>
      <c r="M240" s="94"/>
      <c r="P240" s="92"/>
      <c r="Q240" s="77"/>
      <c r="R240" s="77"/>
    </row>
    <row r="241" spans="2:18" ht="15.75" customHeight="1">
      <c r="B241" s="91"/>
      <c r="D241" s="77"/>
      <c r="E241" s="77"/>
      <c r="F241" s="92"/>
      <c r="G241" s="77"/>
      <c r="K241" s="93"/>
      <c r="L241" s="94"/>
      <c r="M241" s="94"/>
      <c r="P241" s="92"/>
      <c r="Q241" s="77"/>
      <c r="R241" s="77"/>
    </row>
    <row r="242" spans="2:18" ht="15.75" customHeight="1">
      <c r="B242" s="91"/>
      <c r="D242" s="77"/>
      <c r="E242" s="77"/>
      <c r="F242" s="92"/>
      <c r="G242" s="77"/>
      <c r="K242" s="93"/>
      <c r="L242" s="94"/>
      <c r="M242" s="94"/>
      <c r="P242" s="92"/>
      <c r="Q242" s="77"/>
      <c r="R242" s="77"/>
    </row>
    <row r="243" spans="2:18" ht="15.75" customHeight="1">
      <c r="B243" s="91"/>
      <c r="D243" s="77"/>
      <c r="E243" s="77"/>
      <c r="F243" s="92"/>
      <c r="G243" s="77"/>
      <c r="K243" s="93"/>
      <c r="L243" s="94"/>
      <c r="M243" s="94"/>
      <c r="P243" s="92"/>
      <c r="Q243" s="77"/>
      <c r="R243" s="77"/>
    </row>
    <row r="244" spans="2:18" ht="15.75" customHeight="1">
      <c r="B244" s="91"/>
      <c r="D244" s="77"/>
      <c r="E244" s="77"/>
      <c r="F244" s="92"/>
      <c r="G244" s="77"/>
      <c r="K244" s="93"/>
      <c r="L244" s="94"/>
      <c r="M244" s="94"/>
      <c r="P244" s="92"/>
      <c r="Q244" s="77"/>
      <c r="R244" s="77"/>
    </row>
    <row r="245" spans="2:18" ht="15.75" customHeight="1">
      <c r="B245" s="91"/>
      <c r="D245" s="77"/>
      <c r="E245" s="77"/>
      <c r="F245" s="92"/>
      <c r="G245" s="77"/>
      <c r="K245" s="93"/>
      <c r="L245" s="94"/>
      <c r="M245" s="94"/>
      <c r="P245" s="92"/>
      <c r="Q245" s="77"/>
      <c r="R245" s="77"/>
    </row>
    <row r="246" spans="2:18" ht="15.75" customHeight="1">
      <c r="B246" s="91"/>
      <c r="D246" s="77"/>
      <c r="E246" s="77"/>
      <c r="F246" s="92"/>
      <c r="G246" s="77"/>
      <c r="K246" s="93"/>
      <c r="L246" s="94"/>
      <c r="M246" s="94"/>
      <c r="P246" s="92"/>
      <c r="Q246" s="77"/>
      <c r="R246" s="77"/>
    </row>
    <row r="247" spans="2:18" ht="15.75" customHeight="1">
      <c r="B247" s="91"/>
      <c r="D247" s="77"/>
      <c r="E247" s="77"/>
      <c r="F247" s="92"/>
      <c r="G247" s="77"/>
      <c r="K247" s="93"/>
      <c r="L247" s="94"/>
      <c r="M247" s="94"/>
      <c r="P247" s="92"/>
      <c r="Q247" s="77"/>
      <c r="R247" s="77"/>
    </row>
    <row r="248" spans="2:18" ht="15.75" customHeight="1">
      <c r="B248" s="91"/>
      <c r="D248" s="77"/>
      <c r="E248" s="77"/>
      <c r="F248" s="92"/>
      <c r="G248" s="77"/>
      <c r="K248" s="93"/>
      <c r="L248" s="94"/>
      <c r="M248" s="94"/>
      <c r="P248" s="92"/>
      <c r="Q248" s="77"/>
      <c r="R248" s="77"/>
    </row>
    <row r="249" spans="2:18" ht="15.75" customHeight="1">
      <c r="B249" s="91"/>
      <c r="D249" s="77"/>
      <c r="E249" s="77"/>
      <c r="F249" s="92"/>
      <c r="G249" s="77"/>
      <c r="K249" s="93"/>
      <c r="L249" s="94"/>
      <c r="M249" s="94"/>
      <c r="P249" s="92"/>
      <c r="Q249" s="77"/>
      <c r="R249" s="77"/>
    </row>
    <row r="250" spans="2:18" ht="15.75" customHeight="1">
      <c r="B250" s="91"/>
      <c r="D250" s="77"/>
      <c r="E250" s="77"/>
      <c r="F250" s="92"/>
      <c r="G250" s="77"/>
      <c r="K250" s="93"/>
      <c r="L250" s="94"/>
      <c r="M250" s="94"/>
      <c r="P250" s="92"/>
      <c r="Q250" s="77"/>
      <c r="R250" s="77"/>
    </row>
    <row r="251" spans="2:18" ht="15.75" customHeight="1">
      <c r="B251" s="91"/>
      <c r="D251" s="77"/>
      <c r="E251" s="77"/>
      <c r="F251" s="92"/>
      <c r="G251" s="77"/>
      <c r="K251" s="93"/>
      <c r="L251" s="94"/>
      <c r="M251" s="94"/>
      <c r="P251" s="92"/>
      <c r="Q251" s="77"/>
      <c r="R251" s="77"/>
    </row>
    <row r="252" spans="2:18" ht="15.75" customHeight="1">
      <c r="B252" s="91"/>
      <c r="D252" s="77"/>
      <c r="E252" s="77"/>
      <c r="F252" s="92"/>
      <c r="G252" s="77"/>
      <c r="K252" s="93"/>
      <c r="L252" s="94"/>
      <c r="M252" s="94"/>
      <c r="P252" s="92"/>
      <c r="Q252" s="77"/>
      <c r="R252" s="77"/>
    </row>
    <row r="253" spans="2:18" ht="15.75" customHeight="1">
      <c r="B253" s="91"/>
      <c r="D253" s="77"/>
      <c r="E253" s="77"/>
      <c r="F253" s="92"/>
      <c r="G253" s="77"/>
      <c r="K253" s="93"/>
      <c r="L253" s="94"/>
      <c r="M253" s="94"/>
      <c r="P253" s="92"/>
      <c r="Q253" s="77"/>
      <c r="R253" s="77"/>
    </row>
    <row r="254" spans="2:18" ht="15.75" customHeight="1">
      <c r="B254" s="91"/>
      <c r="D254" s="77"/>
      <c r="E254" s="77"/>
      <c r="F254" s="92"/>
      <c r="G254" s="77"/>
      <c r="K254" s="93"/>
      <c r="L254" s="94"/>
      <c r="M254" s="94"/>
      <c r="P254" s="92"/>
      <c r="Q254" s="77"/>
      <c r="R254" s="77"/>
    </row>
    <row r="255" spans="2:18" ht="15.75" customHeight="1">
      <c r="B255" s="91"/>
      <c r="D255" s="77"/>
      <c r="E255" s="77"/>
      <c r="F255" s="92"/>
      <c r="G255" s="77"/>
      <c r="K255" s="93"/>
      <c r="L255" s="94"/>
      <c r="M255" s="94"/>
      <c r="P255" s="92"/>
      <c r="Q255" s="77"/>
      <c r="R255" s="77"/>
    </row>
    <row r="256" spans="2:18" ht="15.75" customHeight="1">
      <c r="B256" s="91"/>
      <c r="D256" s="77"/>
      <c r="E256" s="77"/>
      <c r="F256" s="92"/>
      <c r="G256" s="77"/>
      <c r="K256" s="93"/>
      <c r="L256" s="94"/>
      <c r="M256" s="94"/>
      <c r="P256" s="92"/>
      <c r="Q256" s="77"/>
      <c r="R256" s="77"/>
    </row>
    <row r="257" spans="2:18" ht="15.75" customHeight="1">
      <c r="B257" s="91"/>
      <c r="D257" s="77"/>
      <c r="E257" s="77"/>
      <c r="F257" s="92"/>
      <c r="G257" s="77"/>
      <c r="K257" s="93"/>
      <c r="L257" s="94"/>
      <c r="M257" s="94"/>
      <c r="P257" s="92"/>
      <c r="Q257" s="77"/>
      <c r="R257" s="77"/>
    </row>
    <row r="258" spans="2:18" ht="15.75" customHeight="1">
      <c r="B258" s="91"/>
      <c r="D258" s="77"/>
      <c r="E258" s="77"/>
      <c r="F258" s="92"/>
      <c r="G258" s="77"/>
      <c r="K258" s="93"/>
      <c r="L258" s="94"/>
      <c r="M258" s="94"/>
      <c r="P258" s="92"/>
      <c r="Q258" s="77"/>
      <c r="R258" s="77"/>
    </row>
    <row r="259" spans="2:18" ht="15.75" customHeight="1">
      <c r="B259" s="91"/>
      <c r="D259" s="77"/>
      <c r="E259" s="77"/>
      <c r="F259" s="92"/>
      <c r="G259" s="77"/>
      <c r="K259" s="93"/>
      <c r="L259" s="94"/>
      <c r="M259" s="94"/>
      <c r="P259" s="92"/>
      <c r="Q259" s="77"/>
      <c r="R259" s="77"/>
    </row>
    <row r="260" spans="2:18" ht="15.75" customHeight="1">
      <c r="B260" s="91"/>
      <c r="D260" s="77"/>
      <c r="E260" s="77"/>
      <c r="F260" s="92"/>
      <c r="G260" s="77"/>
      <c r="K260" s="93"/>
      <c r="L260" s="94"/>
      <c r="M260" s="94"/>
      <c r="P260" s="92"/>
      <c r="Q260" s="77"/>
      <c r="R260" s="77"/>
    </row>
    <row r="261" spans="2:18" ht="15.75" customHeight="1">
      <c r="B261" s="91"/>
      <c r="D261" s="77"/>
      <c r="E261" s="77"/>
      <c r="F261" s="92"/>
      <c r="G261" s="77"/>
      <c r="K261" s="93"/>
      <c r="L261" s="94"/>
      <c r="M261" s="94"/>
      <c r="P261" s="92"/>
      <c r="Q261" s="77"/>
      <c r="R261" s="77"/>
    </row>
    <row r="262" spans="2:18" ht="15.75" customHeight="1">
      <c r="B262" s="91"/>
      <c r="D262" s="77"/>
      <c r="E262" s="77"/>
      <c r="F262" s="92"/>
      <c r="G262" s="77"/>
      <c r="K262" s="93"/>
      <c r="L262" s="94"/>
      <c r="M262" s="94"/>
      <c r="P262" s="92"/>
      <c r="Q262" s="77"/>
      <c r="R262" s="77"/>
    </row>
    <row r="263" spans="2:18" ht="15.75" customHeight="1">
      <c r="B263" s="91"/>
      <c r="D263" s="77"/>
      <c r="E263" s="77"/>
      <c r="F263" s="92"/>
      <c r="G263" s="77"/>
      <c r="K263" s="93"/>
      <c r="L263" s="94"/>
      <c r="M263" s="94"/>
      <c r="P263" s="92"/>
      <c r="Q263" s="77"/>
      <c r="R263" s="77"/>
    </row>
    <row r="264" spans="2:18" ht="15.75" customHeight="1">
      <c r="B264" s="91"/>
      <c r="D264" s="77"/>
      <c r="E264" s="77"/>
      <c r="F264" s="92"/>
      <c r="G264" s="77"/>
      <c r="K264" s="93"/>
      <c r="L264" s="94"/>
      <c r="M264" s="94"/>
      <c r="P264" s="92"/>
      <c r="Q264" s="77"/>
      <c r="R264" s="77"/>
    </row>
    <row r="265" spans="2:18" ht="15.75" customHeight="1">
      <c r="B265" s="91"/>
      <c r="D265" s="77"/>
      <c r="E265" s="77"/>
      <c r="F265" s="92"/>
      <c r="G265" s="77"/>
      <c r="K265" s="93"/>
      <c r="L265" s="94"/>
      <c r="M265" s="94"/>
      <c r="P265" s="92"/>
      <c r="Q265" s="77"/>
      <c r="R265" s="77"/>
    </row>
    <row r="266" spans="2:18" ht="15.75" customHeight="1">
      <c r="B266" s="91"/>
      <c r="D266" s="77"/>
      <c r="E266" s="77"/>
      <c r="F266" s="92"/>
      <c r="G266" s="77"/>
      <c r="K266" s="93"/>
      <c r="L266" s="94"/>
      <c r="M266" s="94"/>
      <c r="P266" s="92"/>
      <c r="Q266" s="77"/>
      <c r="R266" s="77"/>
    </row>
    <row r="267" spans="2:18" ht="15.75" customHeight="1">
      <c r="B267" s="91"/>
      <c r="D267" s="77"/>
      <c r="E267" s="77"/>
      <c r="F267" s="92"/>
      <c r="G267" s="77"/>
      <c r="K267" s="93"/>
      <c r="L267" s="94"/>
      <c r="M267" s="94"/>
      <c r="P267" s="92"/>
      <c r="Q267" s="77"/>
      <c r="R267" s="77"/>
    </row>
    <row r="268" spans="2:18" ht="15.75" customHeight="1">
      <c r="B268" s="91"/>
      <c r="D268" s="77"/>
      <c r="E268" s="77"/>
      <c r="F268" s="92"/>
      <c r="G268" s="77"/>
      <c r="K268" s="93"/>
      <c r="L268" s="94"/>
      <c r="M268" s="94"/>
      <c r="P268" s="92"/>
      <c r="Q268" s="77"/>
      <c r="R268" s="77"/>
    </row>
    <row r="269" spans="2:18" ht="15.75" customHeight="1">
      <c r="B269" s="91"/>
      <c r="D269" s="77"/>
      <c r="E269" s="77"/>
      <c r="F269" s="92"/>
      <c r="G269" s="77"/>
      <c r="K269" s="93"/>
      <c r="L269" s="94"/>
      <c r="M269" s="94"/>
      <c r="P269" s="92"/>
      <c r="Q269" s="77"/>
      <c r="R269" s="77"/>
    </row>
    <row r="270" spans="2:18" ht="15.75" customHeight="1">
      <c r="B270" s="91"/>
      <c r="D270" s="77"/>
      <c r="E270" s="77"/>
      <c r="F270" s="92"/>
      <c r="G270" s="77"/>
      <c r="K270" s="93"/>
      <c r="L270" s="94"/>
      <c r="M270" s="94"/>
      <c r="P270" s="92"/>
      <c r="Q270" s="77"/>
      <c r="R270" s="77"/>
    </row>
    <row r="271" spans="2:18" ht="15.75" customHeight="1">
      <c r="B271" s="91"/>
      <c r="D271" s="77"/>
      <c r="E271" s="77"/>
      <c r="F271" s="92"/>
      <c r="G271" s="77"/>
      <c r="K271" s="93"/>
      <c r="L271" s="94"/>
      <c r="M271" s="94"/>
      <c r="P271" s="92"/>
      <c r="Q271" s="77"/>
      <c r="R271" s="77"/>
    </row>
    <row r="272" spans="2:18" ht="15.75" customHeight="1">
      <c r="B272" s="91"/>
      <c r="D272" s="77"/>
      <c r="E272" s="77"/>
      <c r="F272" s="92"/>
      <c r="G272" s="77"/>
      <c r="K272" s="93"/>
      <c r="L272" s="94"/>
      <c r="M272" s="94"/>
      <c r="P272" s="92"/>
      <c r="Q272" s="77"/>
      <c r="R272" s="77"/>
    </row>
    <row r="273" spans="2:18" ht="15.75" customHeight="1">
      <c r="B273" s="91"/>
      <c r="D273" s="77"/>
      <c r="E273" s="77"/>
      <c r="F273" s="92"/>
      <c r="G273" s="77"/>
      <c r="K273" s="93"/>
      <c r="L273" s="94"/>
      <c r="M273" s="94"/>
      <c r="P273" s="92"/>
      <c r="Q273" s="77"/>
      <c r="R273" s="77"/>
    </row>
    <row r="274" spans="2:18" ht="15.75" customHeight="1">
      <c r="B274" s="91"/>
      <c r="D274" s="77"/>
      <c r="E274" s="77"/>
      <c r="F274" s="92"/>
      <c r="G274" s="77"/>
      <c r="K274" s="93"/>
      <c r="L274" s="94"/>
      <c r="M274" s="94"/>
      <c r="P274" s="92"/>
      <c r="Q274" s="77"/>
      <c r="R274" s="77"/>
    </row>
    <row r="275" spans="2:18" ht="15.75" customHeight="1">
      <c r="B275" s="91"/>
      <c r="D275" s="77"/>
      <c r="E275" s="77"/>
      <c r="F275" s="92"/>
      <c r="G275" s="77"/>
      <c r="K275" s="93"/>
      <c r="L275" s="94"/>
      <c r="M275" s="94"/>
      <c r="P275" s="92"/>
      <c r="Q275" s="77"/>
      <c r="R275" s="77"/>
    </row>
    <row r="276" spans="2:18" ht="15.75" customHeight="1">
      <c r="B276" s="91"/>
      <c r="D276" s="77"/>
      <c r="E276" s="77"/>
      <c r="F276" s="92"/>
      <c r="G276" s="77"/>
      <c r="K276" s="93"/>
      <c r="L276" s="94"/>
      <c r="M276" s="94"/>
      <c r="P276" s="92"/>
      <c r="Q276" s="77"/>
      <c r="R276" s="77"/>
    </row>
    <row r="277" spans="2:18" ht="15.75" customHeight="1">
      <c r="B277" s="91"/>
      <c r="D277" s="77"/>
      <c r="E277" s="77"/>
      <c r="F277" s="92"/>
      <c r="G277" s="77"/>
      <c r="K277" s="93"/>
      <c r="L277" s="94"/>
      <c r="M277" s="94"/>
      <c r="P277" s="92"/>
      <c r="Q277" s="77"/>
      <c r="R277" s="77"/>
    </row>
    <row r="278" spans="2:18" ht="15.75" customHeight="1">
      <c r="B278" s="91"/>
      <c r="D278" s="77"/>
      <c r="E278" s="77"/>
      <c r="F278" s="92"/>
      <c r="G278" s="77"/>
      <c r="K278" s="93"/>
      <c r="L278" s="94"/>
      <c r="M278" s="94"/>
      <c r="P278" s="92"/>
      <c r="Q278" s="77"/>
      <c r="R278" s="77"/>
    </row>
    <row r="279" spans="2:18" ht="15.75" customHeight="1">
      <c r="B279" s="91"/>
      <c r="D279" s="77"/>
      <c r="E279" s="77"/>
      <c r="F279" s="92"/>
      <c r="G279" s="77"/>
      <c r="K279" s="93"/>
      <c r="L279" s="94"/>
      <c r="M279" s="94"/>
      <c r="P279" s="92"/>
      <c r="Q279" s="77"/>
      <c r="R279" s="77"/>
    </row>
    <row r="280" spans="2:18" ht="15.75" customHeight="1">
      <c r="B280" s="91"/>
      <c r="D280" s="77"/>
      <c r="E280" s="77"/>
      <c r="F280" s="92"/>
      <c r="G280" s="77"/>
      <c r="K280" s="93"/>
      <c r="L280" s="94"/>
      <c r="M280" s="94"/>
      <c r="P280" s="92"/>
      <c r="Q280" s="77"/>
      <c r="R280" s="77"/>
    </row>
    <row r="281" spans="2:18" ht="15.75" customHeight="1">
      <c r="B281" s="91"/>
      <c r="D281" s="77"/>
      <c r="E281" s="77"/>
      <c r="F281" s="92"/>
      <c r="G281" s="77"/>
      <c r="K281" s="93"/>
      <c r="L281" s="94"/>
      <c r="M281" s="94"/>
      <c r="P281" s="92"/>
      <c r="Q281" s="77"/>
      <c r="R281" s="77"/>
    </row>
    <row r="282" spans="2:18" ht="15.75" customHeight="1">
      <c r="B282" s="91"/>
      <c r="D282" s="77"/>
      <c r="E282" s="77"/>
      <c r="F282" s="92"/>
      <c r="G282" s="77"/>
      <c r="K282" s="93"/>
      <c r="L282" s="94"/>
      <c r="M282" s="94"/>
      <c r="P282" s="92"/>
      <c r="Q282" s="77"/>
      <c r="R282" s="77"/>
    </row>
    <row r="283" spans="2:18" ht="15.75" customHeight="1">
      <c r="B283" s="91"/>
      <c r="D283" s="77"/>
      <c r="E283" s="77"/>
      <c r="F283" s="92"/>
      <c r="G283" s="77"/>
      <c r="K283" s="93"/>
      <c r="L283" s="94"/>
      <c r="M283" s="94"/>
      <c r="P283" s="92"/>
      <c r="Q283" s="77"/>
      <c r="R283" s="77"/>
    </row>
    <row r="284" spans="2:18" ht="15.75" customHeight="1">
      <c r="B284" s="91"/>
      <c r="D284" s="77"/>
      <c r="E284" s="77"/>
      <c r="F284" s="92"/>
      <c r="G284" s="77"/>
      <c r="K284" s="93"/>
      <c r="L284" s="94"/>
      <c r="M284" s="94"/>
      <c r="P284" s="92"/>
      <c r="Q284" s="77"/>
      <c r="R284" s="77"/>
    </row>
    <row r="285" spans="2:18" ht="15.75" customHeight="1">
      <c r="B285" s="91"/>
      <c r="D285" s="77"/>
      <c r="E285" s="77"/>
      <c r="F285" s="92"/>
      <c r="G285" s="77"/>
      <c r="K285" s="93"/>
      <c r="L285" s="94"/>
      <c r="M285" s="94"/>
      <c r="P285" s="92"/>
      <c r="Q285" s="77"/>
      <c r="R285" s="77"/>
    </row>
    <row r="286" spans="2:18" ht="15.75" customHeight="1">
      <c r="B286" s="91"/>
      <c r="D286" s="77"/>
      <c r="E286" s="77"/>
      <c r="F286" s="92"/>
      <c r="G286" s="77"/>
      <c r="K286" s="93"/>
      <c r="L286" s="94"/>
      <c r="M286" s="94"/>
      <c r="P286" s="92"/>
      <c r="Q286" s="77"/>
      <c r="R286" s="77"/>
    </row>
    <row r="287" spans="2:18" ht="15.75" customHeight="1">
      <c r="B287" s="91"/>
      <c r="D287" s="77"/>
      <c r="E287" s="77"/>
      <c r="F287" s="92"/>
      <c r="G287" s="77"/>
      <c r="K287" s="93"/>
      <c r="L287" s="94"/>
      <c r="M287" s="94"/>
      <c r="P287" s="92"/>
      <c r="Q287" s="77"/>
      <c r="R287" s="77"/>
    </row>
    <row r="288" spans="2:18" ht="15.75" customHeight="1">
      <c r="B288" s="91"/>
      <c r="D288" s="77"/>
      <c r="E288" s="77"/>
      <c r="F288" s="92"/>
      <c r="G288" s="77"/>
      <c r="K288" s="93"/>
      <c r="L288" s="94"/>
      <c r="M288" s="94"/>
      <c r="P288" s="92"/>
      <c r="Q288" s="77"/>
      <c r="R288" s="77"/>
    </row>
    <row r="289" spans="2:18" ht="15.75" customHeight="1">
      <c r="B289" s="91"/>
      <c r="D289" s="77"/>
      <c r="E289" s="77"/>
      <c r="F289" s="92"/>
      <c r="G289" s="77"/>
      <c r="K289" s="93"/>
      <c r="L289" s="94"/>
      <c r="M289" s="94"/>
      <c r="P289" s="92"/>
      <c r="Q289" s="77"/>
      <c r="R289" s="77"/>
    </row>
    <row r="290" spans="2:18" ht="15.75" customHeight="1">
      <c r="B290" s="91"/>
      <c r="D290" s="77"/>
      <c r="E290" s="77"/>
      <c r="F290" s="92"/>
      <c r="G290" s="77"/>
      <c r="K290" s="93"/>
      <c r="L290" s="94"/>
      <c r="M290" s="94"/>
      <c r="P290" s="92"/>
      <c r="Q290" s="77"/>
      <c r="R290" s="77"/>
    </row>
    <row r="291" spans="2:18" ht="15.75" customHeight="1">
      <c r="B291" s="91"/>
      <c r="D291" s="77"/>
      <c r="E291" s="77"/>
      <c r="F291" s="92"/>
      <c r="G291" s="77"/>
      <c r="K291" s="93"/>
      <c r="L291" s="94"/>
      <c r="M291" s="94"/>
      <c r="P291" s="92"/>
      <c r="Q291" s="77"/>
      <c r="R291" s="77"/>
    </row>
    <row r="292" spans="2:18" ht="15.75" customHeight="1">
      <c r="B292" s="91"/>
      <c r="D292" s="77"/>
      <c r="E292" s="77"/>
      <c r="F292" s="92"/>
      <c r="G292" s="77"/>
      <c r="K292" s="93"/>
      <c r="L292" s="94"/>
      <c r="M292" s="94"/>
      <c r="P292" s="92"/>
      <c r="Q292" s="77"/>
      <c r="R292" s="77"/>
    </row>
    <row r="293" spans="2:18" ht="15.75" customHeight="1">
      <c r="B293" s="91"/>
      <c r="D293" s="77"/>
      <c r="E293" s="77"/>
      <c r="F293" s="92"/>
      <c r="G293" s="77"/>
      <c r="K293" s="93"/>
      <c r="L293" s="94"/>
      <c r="M293" s="94"/>
      <c r="P293" s="92"/>
      <c r="Q293" s="77"/>
      <c r="R293" s="77"/>
    </row>
    <row r="294" spans="2:18" ht="15.75" customHeight="1">
      <c r="B294" s="91"/>
      <c r="D294" s="77"/>
      <c r="E294" s="77"/>
      <c r="F294" s="92"/>
      <c r="G294" s="77"/>
      <c r="K294" s="93"/>
      <c r="L294" s="94"/>
      <c r="M294" s="94"/>
      <c r="P294" s="92"/>
      <c r="Q294" s="77"/>
      <c r="R294" s="77"/>
    </row>
    <row r="295" spans="2:18" ht="15.75" customHeight="1">
      <c r="B295" s="91"/>
      <c r="D295" s="77"/>
      <c r="E295" s="77"/>
      <c r="F295" s="92"/>
      <c r="G295" s="77"/>
      <c r="K295" s="93"/>
      <c r="L295" s="94"/>
      <c r="M295" s="94"/>
      <c r="P295" s="92"/>
      <c r="Q295" s="77"/>
      <c r="R295" s="77"/>
    </row>
    <row r="296" spans="2:18" ht="15.75" customHeight="1">
      <c r="B296" s="91"/>
      <c r="D296" s="77"/>
      <c r="E296" s="77"/>
      <c r="F296" s="92"/>
      <c r="G296" s="77"/>
      <c r="K296" s="93"/>
      <c r="L296" s="94"/>
      <c r="M296" s="94"/>
      <c r="P296" s="92"/>
      <c r="Q296" s="77"/>
      <c r="R296" s="77"/>
    </row>
    <row r="297" spans="2:18" ht="15.75" customHeight="1">
      <c r="B297" s="91"/>
      <c r="D297" s="77"/>
      <c r="E297" s="77"/>
      <c r="F297" s="92"/>
      <c r="G297" s="77"/>
      <c r="K297" s="93"/>
      <c r="L297" s="94"/>
      <c r="M297" s="94"/>
      <c r="P297" s="92"/>
      <c r="Q297" s="77"/>
      <c r="R297" s="77"/>
    </row>
    <row r="298" spans="2:18" ht="15.75" customHeight="1">
      <c r="B298" s="91"/>
      <c r="D298" s="77"/>
      <c r="E298" s="77"/>
      <c r="F298" s="92"/>
      <c r="G298" s="77"/>
      <c r="K298" s="93"/>
      <c r="L298" s="94"/>
      <c r="M298" s="94"/>
      <c r="P298" s="92"/>
      <c r="Q298" s="77"/>
      <c r="R298" s="77"/>
    </row>
    <row r="299" spans="2:18" ht="15.75" customHeight="1">
      <c r="B299" s="91"/>
      <c r="D299" s="77"/>
      <c r="E299" s="77"/>
      <c r="F299" s="92"/>
      <c r="G299" s="77"/>
      <c r="K299" s="93"/>
      <c r="L299" s="94"/>
      <c r="M299" s="94"/>
      <c r="P299" s="92"/>
      <c r="Q299" s="77"/>
      <c r="R299" s="77"/>
    </row>
    <row r="300" spans="2:18" ht="15.75" customHeight="1">
      <c r="B300" s="91"/>
      <c r="D300" s="77"/>
      <c r="E300" s="77"/>
      <c r="F300" s="92"/>
      <c r="G300" s="77"/>
      <c r="K300" s="93"/>
      <c r="L300" s="94"/>
      <c r="M300" s="94"/>
      <c r="P300" s="92"/>
      <c r="Q300" s="77"/>
      <c r="R300" s="77"/>
    </row>
    <row r="301" spans="2:18" ht="15.75" customHeight="1">
      <c r="B301" s="91"/>
      <c r="D301" s="77"/>
      <c r="E301" s="77"/>
      <c r="F301" s="92"/>
      <c r="G301" s="77"/>
      <c r="K301" s="93"/>
      <c r="L301" s="94"/>
      <c r="M301" s="94"/>
      <c r="P301" s="92"/>
      <c r="Q301" s="77"/>
      <c r="R301" s="77"/>
    </row>
    <row r="302" spans="2:18" ht="15.75" customHeight="1">
      <c r="B302" s="91"/>
      <c r="D302" s="77"/>
      <c r="E302" s="77"/>
      <c r="F302" s="92"/>
      <c r="G302" s="77"/>
      <c r="K302" s="93"/>
      <c r="L302" s="94"/>
      <c r="M302" s="94"/>
      <c r="P302" s="92"/>
      <c r="Q302" s="77"/>
      <c r="R302" s="77"/>
    </row>
    <row r="303" spans="2:18" ht="15.75" customHeight="1">
      <c r="B303" s="91"/>
      <c r="D303" s="77"/>
      <c r="E303" s="77"/>
      <c r="F303" s="92"/>
      <c r="G303" s="77"/>
      <c r="K303" s="93"/>
      <c r="L303" s="94"/>
      <c r="M303" s="94"/>
      <c r="P303" s="92"/>
      <c r="Q303" s="77"/>
      <c r="R303" s="77"/>
    </row>
    <row r="304" spans="2:18" ht="15.75" customHeight="1">
      <c r="B304" s="91"/>
      <c r="D304" s="77"/>
      <c r="E304" s="77"/>
      <c r="F304" s="92"/>
      <c r="G304" s="77"/>
      <c r="K304" s="93"/>
      <c r="L304" s="94"/>
      <c r="M304" s="94"/>
      <c r="P304" s="92"/>
      <c r="Q304" s="77"/>
      <c r="R304" s="77"/>
    </row>
    <row r="305" spans="2:18" ht="15.75" customHeight="1">
      <c r="B305" s="91"/>
      <c r="D305" s="77"/>
      <c r="E305" s="77"/>
      <c r="F305" s="92"/>
      <c r="G305" s="77"/>
      <c r="K305" s="93"/>
      <c r="L305" s="94"/>
      <c r="M305" s="94"/>
      <c r="P305" s="92"/>
      <c r="Q305" s="77"/>
      <c r="R305" s="77"/>
    </row>
    <row r="306" spans="2:18" ht="15.75" customHeight="1">
      <c r="B306" s="91"/>
      <c r="D306" s="77"/>
      <c r="E306" s="77"/>
      <c r="F306" s="92"/>
      <c r="G306" s="77"/>
      <c r="K306" s="93"/>
      <c r="L306" s="94"/>
      <c r="M306" s="94"/>
      <c r="P306" s="92"/>
      <c r="Q306" s="77"/>
      <c r="R306" s="77"/>
    </row>
    <row r="307" spans="2:18" ht="15.75" customHeight="1">
      <c r="B307" s="91"/>
      <c r="D307" s="77"/>
      <c r="E307" s="77"/>
      <c r="F307" s="92"/>
      <c r="G307" s="77"/>
      <c r="K307" s="93"/>
      <c r="L307" s="94"/>
      <c r="M307" s="94"/>
      <c r="P307" s="92"/>
      <c r="Q307" s="77"/>
      <c r="R307" s="77"/>
    </row>
    <row r="308" spans="2:18" ht="15.75" customHeight="1">
      <c r="B308" s="91"/>
      <c r="D308" s="77"/>
      <c r="E308" s="77"/>
      <c r="F308" s="92"/>
      <c r="G308" s="77"/>
      <c r="K308" s="93"/>
      <c r="L308" s="94"/>
      <c r="M308" s="94"/>
      <c r="P308" s="92"/>
      <c r="Q308" s="77"/>
      <c r="R308" s="77"/>
    </row>
    <row r="309" spans="2:18" ht="15.75" customHeight="1">
      <c r="B309" s="91"/>
      <c r="D309" s="77"/>
      <c r="E309" s="77"/>
      <c r="F309" s="92"/>
      <c r="G309" s="77"/>
      <c r="K309" s="93"/>
      <c r="L309" s="94"/>
      <c r="M309" s="94"/>
      <c r="P309" s="92"/>
      <c r="Q309" s="77"/>
      <c r="R309" s="77"/>
    </row>
    <row r="310" spans="2:18" ht="15.75" customHeight="1">
      <c r="B310" s="91"/>
      <c r="D310" s="77"/>
      <c r="E310" s="77"/>
      <c r="F310" s="92"/>
      <c r="G310" s="77"/>
      <c r="K310" s="93"/>
      <c r="L310" s="94"/>
      <c r="M310" s="94"/>
      <c r="P310" s="92"/>
      <c r="Q310" s="77"/>
      <c r="R310" s="77"/>
    </row>
    <row r="311" spans="2:18" ht="15.75" customHeight="1">
      <c r="B311" s="91"/>
      <c r="D311" s="77"/>
      <c r="E311" s="77"/>
      <c r="F311" s="92"/>
      <c r="G311" s="77"/>
      <c r="K311" s="93"/>
      <c r="L311" s="94"/>
      <c r="M311" s="94"/>
      <c r="P311" s="92"/>
      <c r="Q311" s="77"/>
      <c r="R311" s="77"/>
    </row>
    <row r="312" spans="2:18" ht="15.75" customHeight="1">
      <c r="B312" s="91"/>
      <c r="D312" s="77"/>
      <c r="E312" s="77"/>
      <c r="F312" s="92"/>
      <c r="G312" s="77"/>
      <c r="K312" s="93"/>
      <c r="L312" s="94"/>
      <c r="M312" s="94"/>
      <c r="P312" s="92"/>
      <c r="Q312" s="77"/>
      <c r="R312" s="77"/>
    </row>
    <row r="313" spans="2:18" ht="15.75" customHeight="1">
      <c r="B313" s="91"/>
      <c r="D313" s="77"/>
      <c r="E313" s="77"/>
      <c r="F313" s="92"/>
      <c r="G313" s="77"/>
      <c r="K313" s="93"/>
      <c r="L313" s="94"/>
      <c r="M313" s="94"/>
      <c r="P313" s="92"/>
      <c r="Q313" s="77"/>
      <c r="R313" s="77"/>
    </row>
    <row r="314" spans="2:18" ht="15.75" customHeight="1">
      <c r="B314" s="91"/>
      <c r="D314" s="77"/>
      <c r="E314" s="77"/>
      <c r="F314" s="92"/>
      <c r="G314" s="77"/>
      <c r="K314" s="93"/>
      <c r="L314" s="94"/>
      <c r="M314" s="94"/>
      <c r="P314" s="92"/>
      <c r="Q314" s="77"/>
      <c r="R314" s="77"/>
    </row>
    <row r="315" spans="2:18" ht="15.75" customHeight="1">
      <c r="B315" s="91"/>
      <c r="D315" s="77"/>
      <c r="E315" s="77"/>
      <c r="F315" s="92"/>
      <c r="G315" s="77"/>
      <c r="K315" s="93"/>
      <c r="L315" s="94"/>
      <c r="M315" s="94"/>
      <c r="P315" s="92"/>
      <c r="Q315" s="77"/>
      <c r="R315" s="77"/>
    </row>
    <row r="316" spans="2:18" ht="15.75" customHeight="1">
      <c r="B316" s="91"/>
      <c r="D316" s="77"/>
      <c r="E316" s="77"/>
      <c r="F316" s="92"/>
      <c r="G316" s="77"/>
      <c r="K316" s="93"/>
      <c r="L316" s="94"/>
      <c r="M316" s="94"/>
      <c r="P316" s="92"/>
      <c r="Q316" s="77"/>
      <c r="R316" s="77"/>
    </row>
    <row r="317" spans="2:18" ht="15.75" customHeight="1">
      <c r="B317" s="91"/>
      <c r="D317" s="77"/>
      <c r="E317" s="77"/>
      <c r="F317" s="92"/>
      <c r="G317" s="77"/>
      <c r="K317" s="93"/>
      <c r="L317" s="94"/>
      <c r="M317" s="94"/>
      <c r="P317" s="92"/>
      <c r="Q317" s="77"/>
      <c r="R317" s="77"/>
    </row>
    <row r="318" spans="2:18" ht="15.75" customHeight="1">
      <c r="B318" s="91"/>
      <c r="D318" s="77"/>
      <c r="E318" s="77"/>
      <c r="F318" s="92"/>
      <c r="G318" s="77"/>
      <c r="K318" s="93"/>
      <c r="L318" s="94"/>
      <c r="M318" s="94"/>
      <c r="P318" s="92"/>
      <c r="Q318" s="77"/>
      <c r="R318" s="77"/>
    </row>
    <row r="319" spans="2:18" ht="15.75" customHeight="1">
      <c r="B319" s="91"/>
      <c r="D319" s="77"/>
      <c r="E319" s="77"/>
      <c r="F319" s="92"/>
      <c r="G319" s="77"/>
      <c r="K319" s="93"/>
      <c r="L319" s="94"/>
      <c r="M319" s="94"/>
      <c r="P319" s="92"/>
      <c r="Q319" s="77"/>
      <c r="R319" s="77"/>
    </row>
    <row r="320" spans="2:18" ht="15.75" customHeight="1">
      <c r="B320" s="91"/>
      <c r="D320" s="77"/>
      <c r="E320" s="77"/>
      <c r="F320" s="92"/>
      <c r="G320" s="77"/>
      <c r="K320" s="93"/>
      <c r="L320" s="94"/>
      <c r="M320" s="94"/>
      <c r="P320" s="92"/>
      <c r="Q320" s="77"/>
      <c r="R320" s="77"/>
    </row>
    <row r="321" spans="2:18" ht="15.75" customHeight="1">
      <c r="B321" s="91"/>
      <c r="D321" s="77"/>
      <c r="E321" s="77"/>
      <c r="F321" s="92"/>
      <c r="G321" s="77"/>
      <c r="K321" s="93"/>
      <c r="L321" s="94"/>
      <c r="M321" s="94"/>
      <c r="P321" s="92"/>
      <c r="Q321" s="77"/>
      <c r="R321" s="77"/>
    </row>
    <row r="322" spans="2:18" ht="15.75" customHeight="1">
      <c r="B322" s="91"/>
      <c r="D322" s="77"/>
      <c r="E322" s="77"/>
      <c r="F322" s="92"/>
      <c r="G322" s="77"/>
      <c r="K322" s="93"/>
      <c r="L322" s="94"/>
      <c r="M322" s="94"/>
      <c r="P322" s="92"/>
      <c r="Q322" s="77"/>
      <c r="R322" s="77"/>
    </row>
    <row r="323" spans="2:18" ht="15.75" customHeight="1">
      <c r="B323" s="91"/>
      <c r="D323" s="77"/>
      <c r="E323" s="77"/>
      <c r="F323" s="92"/>
      <c r="G323" s="77"/>
      <c r="K323" s="93"/>
      <c r="L323" s="94"/>
      <c r="M323" s="94"/>
      <c r="P323" s="92"/>
      <c r="Q323" s="77"/>
      <c r="R323" s="77"/>
    </row>
    <row r="324" spans="2:18" ht="15.75" customHeight="1">
      <c r="B324" s="91"/>
      <c r="D324" s="77"/>
      <c r="E324" s="77"/>
      <c r="F324" s="92"/>
      <c r="G324" s="77"/>
      <c r="K324" s="93"/>
      <c r="L324" s="94"/>
      <c r="M324" s="94"/>
      <c r="P324" s="92"/>
      <c r="Q324" s="77"/>
      <c r="R324" s="77"/>
    </row>
    <row r="325" spans="2:18" ht="15.75" customHeight="1">
      <c r="B325" s="91"/>
      <c r="D325" s="77"/>
      <c r="E325" s="77"/>
      <c r="F325" s="92"/>
      <c r="G325" s="77"/>
      <c r="K325" s="93"/>
      <c r="L325" s="94"/>
      <c r="M325" s="94"/>
      <c r="P325" s="92"/>
      <c r="Q325" s="77"/>
      <c r="R325" s="77"/>
    </row>
    <row r="326" spans="2:18" ht="15.75" customHeight="1">
      <c r="B326" s="91"/>
      <c r="D326" s="77"/>
      <c r="E326" s="77"/>
      <c r="F326" s="92"/>
      <c r="G326" s="77"/>
      <c r="K326" s="93"/>
      <c r="L326" s="94"/>
      <c r="M326" s="94"/>
      <c r="P326" s="92"/>
      <c r="Q326" s="77"/>
      <c r="R326" s="77"/>
    </row>
    <row r="327" spans="2:18" ht="15.75" customHeight="1">
      <c r="B327" s="91"/>
      <c r="D327" s="77"/>
      <c r="E327" s="77"/>
      <c r="F327" s="92"/>
      <c r="G327" s="77"/>
      <c r="K327" s="93"/>
      <c r="L327" s="94"/>
      <c r="M327" s="94"/>
      <c r="P327" s="92"/>
      <c r="Q327" s="77"/>
      <c r="R327" s="77"/>
    </row>
    <row r="328" spans="2:18" ht="15.75" customHeight="1">
      <c r="B328" s="91"/>
      <c r="D328" s="77"/>
      <c r="E328" s="77"/>
      <c r="F328" s="92"/>
      <c r="G328" s="77"/>
      <c r="K328" s="93"/>
      <c r="L328" s="94"/>
      <c r="M328" s="94"/>
      <c r="P328" s="92"/>
      <c r="Q328" s="77"/>
      <c r="R328" s="77"/>
    </row>
    <row r="329" spans="2:18" ht="15.75" customHeight="1">
      <c r="B329" s="91"/>
      <c r="D329" s="77"/>
      <c r="E329" s="77"/>
      <c r="F329" s="92"/>
      <c r="G329" s="77"/>
      <c r="K329" s="93"/>
      <c r="L329" s="94"/>
      <c r="M329" s="94"/>
      <c r="P329" s="92"/>
      <c r="Q329" s="77"/>
      <c r="R329" s="77"/>
    </row>
    <row r="330" spans="2:18" ht="15.75" customHeight="1">
      <c r="B330" s="91"/>
      <c r="D330" s="77"/>
      <c r="E330" s="77"/>
      <c r="F330" s="92"/>
      <c r="G330" s="77"/>
      <c r="K330" s="93"/>
      <c r="L330" s="94"/>
      <c r="M330" s="94"/>
      <c r="P330" s="92"/>
      <c r="Q330" s="77"/>
      <c r="R330" s="77"/>
    </row>
    <row r="331" spans="2:18" ht="15.75" customHeight="1">
      <c r="B331" s="91"/>
      <c r="D331" s="77"/>
      <c r="E331" s="77"/>
      <c r="F331" s="92"/>
      <c r="G331" s="77"/>
      <c r="K331" s="93"/>
      <c r="L331" s="94"/>
      <c r="M331" s="94"/>
      <c r="P331" s="92"/>
      <c r="Q331" s="77"/>
      <c r="R331" s="77"/>
    </row>
    <row r="332" spans="2:18" ht="15.75" customHeight="1">
      <c r="B332" s="91"/>
      <c r="D332" s="77"/>
      <c r="E332" s="77"/>
      <c r="F332" s="92"/>
      <c r="G332" s="77"/>
      <c r="K332" s="93"/>
      <c r="L332" s="94"/>
      <c r="M332" s="94"/>
      <c r="P332" s="92"/>
      <c r="Q332" s="77"/>
      <c r="R332" s="77"/>
    </row>
    <row r="333" spans="2:18" ht="15.75" customHeight="1">
      <c r="B333" s="91"/>
      <c r="D333" s="77"/>
      <c r="E333" s="77"/>
      <c r="F333" s="92"/>
      <c r="G333" s="77"/>
      <c r="K333" s="93"/>
      <c r="L333" s="94"/>
      <c r="M333" s="94"/>
      <c r="P333" s="92"/>
      <c r="Q333" s="77"/>
      <c r="R333" s="77"/>
    </row>
    <row r="334" spans="2:18" ht="15.75" customHeight="1">
      <c r="B334" s="91"/>
      <c r="D334" s="77"/>
      <c r="E334" s="77"/>
      <c r="F334" s="92"/>
      <c r="G334" s="77"/>
      <c r="K334" s="93"/>
      <c r="L334" s="94"/>
      <c r="M334" s="94"/>
      <c r="P334" s="92"/>
      <c r="Q334" s="77"/>
      <c r="R334" s="77"/>
    </row>
    <row r="335" spans="2:18" ht="15.75" customHeight="1">
      <c r="B335" s="91"/>
      <c r="D335" s="77"/>
      <c r="E335" s="77"/>
      <c r="F335" s="92"/>
      <c r="G335" s="77"/>
      <c r="K335" s="93"/>
      <c r="L335" s="94"/>
      <c r="M335" s="94"/>
      <c r="P335" s="92"/>
      <c r="Q335" s="77"/>
      <c r="R335" s="77"/>
    </row>
    <row r="336" spans="2:18" ht="15.75" customHeight="1">
      <c r="B336" s="91"/>
      <c r="D336" s="77"/>
      <c r="E336" s="77"/>
      <c r="F336" s="92"/>
      <c r="G336" s="77"/>
      <c r="K336" s="93"/>
      <c r="L336" s="94"/>
      <c r="M336" s="94"/>
      <c r="P336" s="92"/>
      <c r="Q336" s="77"/>
      <c r="R336" s="77"/>
    </row>
    <row r="337" spans="2:18" ht="15.75" customHeight="1">
      <c r="B337" s="91"/>
      <c r="D337" s="77"/>
      <c r="E337" s="77"/>
      <c r="F337" s="92"/>
      <c r="G337" s="77"/>
      <c r="K337" s="93"/>
      <c r="L337" s="94"/>
      <c r="M337" s="94"/>
      <c r="P337" s="92"/>
      <c r="Q337" s="77"/>
      <c r="R337" s="77"/>
    </row>
    <row r="338" spans="2:18" ht="15.75" customHeight="1">
      <c r="B338" s="91"/>
      <c r="D338" s="77"/>
      <c r="E338" s="77"/>
      <c r="F338" s="92"/>
      <c r="G338" s="77"/>
      <c r="K338" s="93"/>
      <c r="L338" s="94"/>
      <c r="M338" s="94"/>
      <c r="P338" s="92"/>
      <c r="Q338" s="77"/>
      <c r="R338" s="77"/>
    </row>
    <row r="339" spans="2:18" ht="15.75" customHeight="1">
      <c r="B339" s="91"/>
      <c r="D339" s="77"/>
      <c r="E339" s="77"/>
      <c r="F339" s="92"/>
      <c r="G339" s="77"/>
      <c r="K339" s="93"/>
      <c r="L339" s="94"/>
      <c r="M339" s="94"/>
      <c r="P339" s="92"/>
      <c r="Q339" s="77"/>
      <c r="R339" s="77"/>
    </row>
    <row r="340" spans="2:18" ht="15.75" customHeight="1">
      <c r="B340" s="91"/>
      <c r="D340" s="77"/>
      <c r="E340" s="77"/>
      <c r="F340" s="92"/>
      <c r="G340" s="77"/>
      <c r="K340" s="93"/>
      <c r="L340" s="94"/>
      <c r="M340" s="94"/>
      <c r="P340" s="92"/>
      <c r="Q340" s="77"/>
      <c r="R340" s="77"/>
    </row>
    <row r="341" spans="2:18" ht="15.75" customHeight="1">
      <c r="B341" s="91"/>
      <c r="D341" s="77"/>
      <c r="E341" s="77"/>
      <c r="F341" s="92"/>
      <c r="G341" s="77"/>
      <c r="K341" s="93"/>
      <c r="L341" s="94"/>
      <c r="M341" s="94"/>
      <c r="P341" s="92"/>
      <c r="Q341" s="77"/>
      <c r="R341" s="77"/>
    </row>
    <row r="342" spans="2:18" ht="15.75" customHeight="1">
      <c r="B342" s="91"/>
      <c r="D342" s="77"/>
      <c r="E342" s="77"/>
      <c r="F342" s="92"/>
      <c r="G342" s="77"/>
      <c r="K342" s="93"/>
      <c r="L342" s="94"/>
      <c r="M342" s="94"/>
      <c r="P342" s="92"/>
      <c r="Q342" s="77"/>
      <c r="R342" s="77"/>
    </row>
    <row r="343" spans="2:18" ht="15.75" customHeight="1">
      <c r="B343" s="91"/>
      <c r="D343" s="77"/>
      <c r="E343" s="77"/>
      <c r="F343" s="92"/>
      <c r="G343" s="77"/>
      <c r="K343" s="93"/>
      <c r="L343" s="94"/>
      <c r="M343" s="94"/>
      <c r="P343" s="92"/>
      <c r="Q343" s="77"/>
      <c r="R343" s="77"/>
    </row>
    <row r="344" spans="2:18" ht="15.75" customHeight="1">
      <c r="B344" s="91"/>
      <c r="D344" s="77"/>
      <c r="E344" s="77"/>
      <c r="F344" s="92"/>
      <c r="G344" s="77"/>
      <c r="K344" s="93"/>
      <c r="L344" s="94"/>
      <c r="M344" s="94"/>
      <c r="P344" s="92"/>
      <c r="Q344" s="77"/>
      <c r="R344" s="77"/>
    </row>
    <row r="345" spans="2:18" ht="15.75" customHeight="1">
      <c r="B345" s="91"/>
      <c r="D345" s="77"/>
      <c r="E345" s="77"/>
      <c r="F345" s="92"/>
      <c r="G345" s="77"/>
      <c r="K345" s="93"/>
      <c r="L345" s="94"/>
      <c r="M345" s="94"/>
      <c r="P345" s="92"/>
      <c r="Q345" s="77"/>
      <c r="R345" s="77"/>
    </row>
    <row r="346" spans="2:18" ht="15.75" customHeight="1">
      <c r="B346" s="91"/>
      <c r="D346" s="77"/>
      <c r="E346" s="77"/>
      <c r="F346" s="92"/>
      <c r="G346" s="77"/>
      <c r="K346" s="93"/>
      <c r="L346" s="94"/>
      <c r="M346" s="94"/>
      <c r="P346" s="92"/>
      <c r="Q346" s="77"/>
      <c r="R346" s="77"/>
    </row>
    <row r="347" spans="2:18" ht="15.75" customHeight="1">
      <c r="B347" s="91"/>
      <c r="D347" s="77"/>
      <c r="E347" s="77"/>
      <c r="F347" s="92"/>
      <c r="G347" s="77"/>
      <c r="K347" s="93"/>
      <c r="L347" s="94"/>
      <c r="M347" s="94"/>
      <c r="P347" s="92"/>
      <c r="Q347" s="77"/>
      <c r="R347" s="77"/>
    </row>
    <row r="348" spans="2:18" ht="15.75" customHeight="1">
      <c r="B348" s="91"/>
      <c r="D348" s="77"/>
      <c r="E348" s="77"/>
      <c r="F348" s="92"/>
      <c r="G348" s="77"/>
      <c r="K348" s="93"/>
      <c r="L348" s="94"/>
      <c r="M348" s="94"/>
      <c r="P348" s="92"/>
      <c r="Q348" s="77"/>
      <c r="R348" s="77"/>
    </row>
    <row r="349" spans="2:18" ht="15.75" customHeight="1">
      <c r="B349" s="91"/>
      <c r="D349" s="77"/>
      <c r="E349" s="77"/>
      <c r="F349" s="92"/>
      <c r="G349" s="77"/>
      <c r="K349" s="93"/>
      <c r="L349" s="94"/>
      <c r="M349" s="94"/>
      <c r="P349" s="92"/>
      <c r="Q349" s="77"/>
      <c r="R349" s="77"/>
    </row>
    <row r="350" spans="2:18" ht="15.75" customHeight="1">
      <c r="B350" s="91"/>
      <c r="D350" s="77"/>
      <c r="E350" s="77"/>
      <c r="F350" s="92"/>
      <c r="G350" s="77"/>
      <c r="K350" s="93"/>
      <c r="L350" s="94"/>
      <c r="M350" s="94"/>
      <c r="P350" s="92"/>
      <c r="Q350" s="77"/>
      <c r="R350" s="77"/>
    </row>
    <row r="351" spans="2:18" ht="15.75" customHeight="1">
      <c r="B351" s="91"/>
      <c r="D351" s="77"/>
      <c r="E351" s="77"/>
      <c r="F351" s="92"/>
      <c r="G351" s="77"/>
      <c r="K351" s="93"/>
      <c r="L351" s="94"/>
      <c r="M351" s="94"/>
      <c r="P351" s="92"/>
      <c r="Q351" s="77"/>
      <c r="R351" s="77"/>
    </row>
    <row r="352" spans="2:18" ht="15.75" customHeight="1">
      <c r="B352" s="91"/>
      <c r="D352" s="77"/>
      <c r="E352" s="77"/>
      <c r="F352" s="92"/>
      <c r="G352" s="77"/>
      <c r="K352" s="93"/>
      <c r="L352" s="94"/>
      <c r="M352" s="94"/>
      <c r="P352" s="92"/>
      <c r="Q352" s="77"/>
      <c r="R352" s="77"/>
    </row>
    <row r="353" spans="2:18" ht="15.75" customHeight="1">
      <c r="B353" s="91"/>
      <c r="D353" s="77"/>
      <c r="E353" s="77"/>
      <c r="F353" s="92"/>
      <c r="G353" s="77"/>
      <c r="K353" s="93"/>
      <c r="L353" s="94"/>
      <c r="M353" s="94"/>
      <c r="P353" s="92"/>
      <c r="Q353" s="77"/>
      <c r="R353" s="77"/>
    </row>
    <row r="354" spans="2:18" ht="15.75" customHeight="1">
      <c r="B354" s="91"/>
      <c r="D354" s="77"/>
      <c r="E354" s="77"/>
      <c r="F354" s="92"/>
      <c r="G354" s="77"/>
      <c r="K354" s="93"/>
      <c r="L354" s="94"/>
      <c r="M354" s="94"/>
      <c r="P354" s="92"/>
      <c r="Q354" s="77"/>
      <c r="R354" s="77"/>
    </row>
    <row r="355" spans="2:18" ht="15.75" customHeight="1">
      <c r="B355" s="91"/>
      <c r="D355" s="77"/>
      <c r="E355" s="77"/>
      <c r="F355" s="92"/>
      <c r="G355" s="77"/>
      <c r="K355" s="93"/>
      <c r="L355" s="94"/>
      <c r="M355" s="94"/>
      <c r="P355" s="92"/>
      <c r="Q355" s="77"/>
      <c r="R355" s="77"/>
    </row>
    <row r="356" spans="2:18" ht="15.75" customHeight="1">
      <c r="B356" s="91"/>
      <c r="D356" s="77"/>
      <c r="E356" s="77"/>
      <c r="F356" s="92"/>
      <c r="G356" s="77"/>
      <c r="K356" s="93"/>
      <c r="L356" s="94"/>
      <c r="M356" s="94"/>
      <c r="P356" s="92"/>
      <c r="Q356" s="77"/>
      <c r="R356" s="77"/>
    </row>
    <row r="357" spans="2:18" ht="15.75" customHeight="1">
      <c r="B357" s="91"/>
      <c r="D357" s="77"/>
      <c r="E357" s="77"/>
      <c r="F357" s="92"/>
      <c r="G357" s="77"/>
      <c r="K357" s="93"/>
      <c r="L357" s="94"/>
      <c r="M357" s="94"/>
      <c r="P357" s="92"/>
      <c r="Q357" s="77"/>
      <c r="R357" s="77"/>
    </row>
    <row r="358" spans="2:18" ht="15.75" customHeight="1">
      <c r="B358" s="91"/>
      <c r="D358" s="77"/>
      <c r="E358" s="77"/>
      <c r="F358" s="92"/>
      <c r="G358" s="77"/>
      <c r="K358" s="93"/>
      <c r="L358" s="94"/>
      <c r="M358" s="94"/>
      <c r="P358" s="92"/>
      <c r="Q358" s="77"/>
      <c r="R358" s="77"/>
    </row>
    <row r="359" spans="2:18" ht="15.75" customHeight="1">
      <c r="B359" s="91"/>
      <c r="D359" s="77"/>
      <c r="E359" s="77"/>
      <c r="F359" s="92"/>
      <c r="G359" s="77"/>
      <c r="K359" s="93"/>
      <c r="L359" s="94"/>
      <c r="M359" s="94"/>
      <c r="P359" s="92"/>
      <c r="Q359" s="77"/>
      <c r="R359" s="77"/>
    </row>
    <row r="360" spans="2:18" ht="15.75" customHeight="1">
      <c r="B360" s="91"/>
      <c r="D360" s="77"/>
      <c r="E360" s="77"/>
      <c r="F360" s="92"/>
      <c r="G360" s="77"/>
      <c r="K360" s="93"/>
      <c r="L360" s="94"/>
      <c r="M360" s="94"/>
      <c r="P360" s="92"/>
      <c r="Q360" s="77"/>
      <c r="R360" s="77"/>
    </row>
    <row r="361" spans="2:18" ht="15.75" customHeight="1">
      <c r="B361" s="91"/>
      <c r="D361" s="77"/>
      <c r="E361" s="77"/>
      <c r="F361" s="92"/>
      <c r="G361" s="77"/>
      <c r="K361" s="93"/>
      <c r="L361" s="94"/>
      <c r="M361" s="94"/>
      <c r="P361" s="92"/>
      <c r="Q361" s="77"/>
      <c r="R361" s="77"/>
    </row>
    <row r="362" spans="2:18" ht="15.75" customHeight="1">
      <c r="B362" s="91"/>
      <c r="D362" s="77"/>
      <c r="E362" s="77"/>
      <c r="F362" s="92"/>
      <c r="G362" s="77"/>
      <c r="K362" s="93"/>
      <c r="L362" s="94"/>
      <c r="M362" s="94"/>
      <c r="P362" s="92"/>
      <c r="Q362" s="77"/>
      <c r="R362" s="77"/>
    </row>
    <row r="363" spans="2:18" ht="15.75" customHeight="1">
      <c r="B363" s="91"/>
      <c r="D363" s="77"/>
      <c r="E363" s="77"/>
      <c r="F363" s="92"/>
      <c r="G363" s="77"/>
      <c r="K363" s="93"/>
      <c r="L363" s="94"/>
      <c r="M363" s="94"/>
      <c r="P363" s="92"/>
      <c r="Q363" s="77"/>
      <c r="R363" s="77"/>
    </row>
    <row r="364" spans="2:18" ht="15.75" customHeight="1">
      <c r="B364" s="91"/>
      <c r="D364" s="77"/>
      <c r="E364" s="77"/>
      <c r="F364" s="92"/>
      <c r="G364" s="77"/>
      <c r="K364" s="93"/>
      <c r="L364" s="94"/>
      <c r="M364" s="94"/>
      <c r="P364" s="92"/>
      <c r="Q364" s="77"/>
      <c r="R364" s="77"/>
    </row>
    <row r="365" spans="2:18" ht="15.75" customHeight="1">
      <c r="B365" s="91"/>
      <c r="D365" s="77"/>
      <c r="E365" s="77"/>
      <c r="F365" s="92"/>
      <c r="G365" s="77"/>
      <c r="K365" s="93"/>
      <c r="L365" s="94"/>
      <c r="M365" s="94"/>
      <c r="P365" s="92"/>
      <c r="Q365" s="77"/>
      <c r="R365" s="77"/>
    </row>
    <row r="366" spans="2:18" ht="15.75" customHeight="1">
      <c r="B366" s="91"/>
      <c r="D366" s="77"/>
      <c r="E366" s="77"/>
      <c r="F366" s="92"/>
      <c r="G366" s="77"/>
      <c r="K366" s="93"/>
      <c r="L366" s="94"/>
      <c r="M366" s="94"/>
      <c r="P366" s="92"/>
      <c r="Q366" s="77"/>
      <c r="R366" s="77"/>
    </row>
    <row r="367" spans="2:18" ht="15.75" customHeight="1">
      <c r="B367" s="91"/>
      <c r="D367" s="77"/>
      <c r="E367" s="77"/>
      <c r="F367" s="92"/>
      <c r="G367" s="77"/>
      <c r="K367" s="93"/>
      <c r="L367" s="94"/>
      <c r="M367" s="94"/>
      <c r="P367" s="92"/>
      <c r="Q367" s="77"/>
      <c r="R367" s="77"/>
    </row>
    <row r="368" spans="2:18" ht="15.75" customHeight="1">
      <c r="B368" s="91"/>
      <c r="D368" s="77"/>
      <c r="E368" s="77"/>
      <c r="F368" s="92"/>
      <c r="G368" s="77"/>
      <c r="K368" s="93"/>
      <c r="L368" s="94"/>
      <c r="M368" s="94"/>
      <c r="P368" s="92"/>
      <c r="Q368" s="77"/>
      <c r="R368" s="77"/>
    </row>
    <row r="369" spans="2:18" ht="15.75" customHeight="1">
      <c r="B369" s="91"/>
      <c r="D369" s="77"/>
      <c r="E369" s="77"/>
      <c r="F369" s="92"/>
      <c r="G369" s="77"/>
      <c r="K369" s="93"/>
      <c r="L369" s="94"/>
      <c r="M369" s="94"/>
      <c r="P369" s="92"/>
      <c r="Q369" s="77"/>
      <c r="R369" s="77"/>
    </row>
    <row r="370" spans="2:18" ht="15.75" customHeight="1">
      <c r="B370" s="91"/>
      <c r="D370" s="77"/>
      <c r="E370" s="77"/>
      <c r="F370" s="92"/>
      <c r="G370" s="77"/>
      <c r="K370" s="93"/>
      <c r="L370" s="94"/>
      <c r="M370" s="94"/>
      <c r="P370" s="92"/>
      <c r="Q370" s="77"/>
      <c r="R370" s="77"/>
    </row>
    <row r="371" spans="2:18" ht="15.75" customHeight="1">
      <c r="B371" s="91"/>
      <c r="D371" s="77"/>
      <c r="E371" s="77"/>
      <c r="F371" s="92"/>
      <c r="G371" s="77"/>
      <c r="K371" s="93"/>
      <c r="L371" s="94"/>
      <c r="M371" s="94"/>
      <c r="P371" s="92"/>
      <c r="Q371" s="77"/>
      <c r="R371" s="77"/>
    </row>
    <row r="372" spans="2:18" ht="15.75" customHeight="1">
      <c r="B372" s="91"/>
      <c r="D372" s="77"/>
      <c r="E372" s="77"/>
      <c r="F372" s="92"/>
      <c r="G372" s="77"/>
      <c r="K372" s="93"/>
      <c r="L372" s="94"/>
      <c r="M372" s="94"/>
      <c r="P372" s="92"/>
      <c r="Q372" s="77"/>
      <c r="R372" s="77"/>
    </row>
    <row r="373" spans="2:18" ht="15.75" customHeight="1">
      <c r="B373" s="91"/>
      <c r="D373" s="77"/>
      <c r="E373" s="77"/>
      <c r="F373" s="92"/>
      <c r="G373" s="77"/>
      <c r="K373" s="93"/>
      <c r="L373" s="94"/>
      <c r="M373" s="94"/>
      <c r="P373" s="92"/>
      <c r="Q373" s="77"/>
      <c r="R373" s="77"/>
    </row>
    <row r="374" spans="2:18" ht="15.75" customHeight="1">
      <c r="B374" s="91"/>
      <c r="D374" s="77"/>
      <c r="E374" s="77"/>
      <c r="F374" s="92"/>
      <c r="G374" s="77"/>
      <c r="K374" s="93"/>
      <c r="L374" s="94"/>
      <c r="M374" s="94"/>
      <c r="P374" s="92"/>
      <c r="Q374" s="77"/>
      <c r="R374" s="77"/>
    </row>
    <row r="375" spans="2:18" ht="15.75" customHeight="1">
      <c r="B375" s="91"/>
      <c r="D375" s="77"/>
      <c r="E375" s="77"/>
      <c r="F375" s="92"/>
      <c r="G375" s="77"/>
      <c r="K375" s="93"/>
      <c r="L375" s="94"/>
      <c r="M375" s="94"/>
      <c r="P375" s="92"/>
      <c r="Q375" s="77"/>
      <c r="R375" s="77"/>
    </row>
    <row r="376" spans="2:18" ht="15.75" customHeight="1">
      <c r="B376" s="91"/>
      <c r="D376" s="77"/>
      <c r="E376" s="77"/>
      <c r="F376" s="92"/>
      <c r="G376" s="77"/>
      <c r="K376" s="93"/>
      <c r="L376" s="94"/>
      <c r="M376" s="94"/>
      <c r="P376" s="92"/>
      <c r="Q376" s="77"/>
      <c r="R376" s="77"/>
    </row>
    <row r="377" spans="2:18" ht="15.75" customHeight="1">
      <c r="B377" s="91"/>
      <c r="D377" s="77"/>
      <c r="E377" s="77"/>
      <c r="F377" s="92"/>
      <c r="G377" s="77"/>
      <c r="K377" s="93"/>
      <c r="L377" s="94"/>
      <c r="M377" s="94"/>
      <c r="P377" s="92"/>
      <c r="Q377" s="77"/>
      <c r="R377" s="77"/>
    </row>
    <row r="378" spans="2:18" ht="15.75" customHeight="1">
      <c r="B378" s="91"/>
      <c r="D378" s="77"/>
      <c r="E378" s="77"/>
      <c r="F378" s="92"/>
      <c r="G378" s="77"/>
      <c r="K378" s="93"/>
      <c r="L378" s="94"/>
      <c r="M378" s="94"/>
      <c r="P378" s="92"/>
      <c r="Q378" s="77"/>
      <c r="R378" s="77"/>
    </row>
    <row r="379" spans="2:18" ht="15.75" customHeight="1">
      <c r="B379" s="91"/>
      <c r="D379" s="77"/>
      <c r="E379" s="77"/>
      <c r="F379" s="92"/>
      <c r="G379" s="77"/>
      <c r="K379" s="93"/>
      <c r="L379" s="94"/>
      <c r="M379" s="94"/>
      <c r="P379" s="92"/>
      <c r="Q379" s="77"/>
      <c r="R379" s="77"/>
    </row>
    <row r="380" spans="2:18" ht="15.75" customHeight="1">
      <c r="B380" s="91"/>
      <c r="D380" s="77"/>
      <c r="E380" s="77"/>
      <c r="F380" s="92"/>
      <c r="G380" s="77"/>
      <c r="K380" s="93"/>
      <c r="L380" s="94"/>
      <c r="M380" s="94"/>
      <c r="P380" s="92"/>
      <c r="Q380" s="77"/>
      <c r="R380" s="77"/>
    </row>
    <row r="381" spans="2:18" ht="15.75" customHeight="1">
      <c r="B381" s="91"/>
      <c r="D381" s="77"/>
      <c r="E381" s="77"/>
      <c r="F381" s="92"/>
      <c r="G381" s="77"/>
      <c r="K381" s="93"/>
      <c r="L381" s="94"/>
      <c r="M381" s="94"/>
      <c r="P381" s="92"/>
      <c r="Q381" s="77"/>
      <c r="R381" s="77"/>
    </row>
    <row r="382" spans="2:18" ht="15.75" customHeight="1">
      <c r="B382" s="91"/>
      <c r="D382" s="77"/>
      <c r="E382" s="77"/>
      <c r="F382" s="92"/>
      <c r="G382" s="77"/>
      <c r="K382" s="93"/>
      <c r="L382" s="94"/>
      <c r="M382" s="94"/>
      <c r="P382" s="92"/>
      <c r="Q382" s="77"/>
      <c r="R382" s="77"/>
    </row>
    <row r="383" spans="2:18" ht="15.75" customHeight="1">
      <c r="B383" s="91"/>
      <c r="D383" s="77"/>
      <c r="E383" s="77"/>
      <c r="F383" s="92"/>
      <c r="G383" s="77"/>
      <c r="K383" s="93"/>
      <c r="L383" s="94"/>
      <c r="M383" s="94"/>
      <c r="P383" s="92"/>
      <c r="Q383" s="77"/>
      <c r="R383" s="77"/>
    </row>
    <row r="384" spans="2:18" ht="15.75" customHeight="1">
      <c r="B384" s="91"/>
      <c r="D384" s="77"/>
      <c r="E384" s="77"/>
      <c r="F384" s="92"/>
      <c r="G384" s="77"/>
      <c r="K384" s="93"/>
      <c r="L384" s="94"/>
      <c r="M384" s="94"/>
      <c r="P384" s="92"/>
      <c r="Q384" s="77"/>
      <c r="R384" s="77"/>
    </row>
    <row r="385" spans="2:18" ht="15.75" customHeight="1">
      <c r="B385" s="91"/>
      <c r="D385" s="77"/>
      <c r="E385" s="77"/>
      <c r="F385" s="92"/>
      <c r="G385" s="77"/>
      <c r="K385" s="93"/>
      <c r="L385" s="94"/>
      <c r="M385" s="94"/>
      <c r="P385" s="92"/>
      <c r="Q385" s="77"/>
      <c r="R385" s="77"/>
    </row>
    <row r="386" spans="2:18" ht="15.75" customHeight="1">
      <c r="B386" s="91"/>
      <c r="D386" s="77"/>
      <c r="E386" s="77"/>
      <c r="F386" s="92"/>
      <c r="G386" s="77"/>
      <c r="K386" s="93"/>
      <c r="L386" s="94"/>
      <c r="M386" s="94"/>
      <c r="P386" s="92"/>
      <c r="Q386" s="77"/>
      <c r="R386" s="77"/>
    </row>
    <row r="387" spans="2:18" ht="15.75" customHeight="1">
      <c r="B387" s="91"/>
      <c r="D387" s="77"/>
      <c r="E387" s="77"/>
      <c r="F387" s="92"/>
      <c r="G387" s="77"/>
      <c r="K387" s="93"/>
      <c r="L387" s="94"/>
      <c r="M387" s="94"/>
      <c r="P387" s="92"/>
      <c r="Q387" s="77"/>
      <c r="R387" s="77"/>
    </row>
    <row r="388" spans="2:18" ht="15.75" customHeight="1">
      <c r="B388" s="91"/>
      <c r="D388" s="77"/>
      <c r="E388" s="77"/>
      <c r="F388" s="92"/>
      <c r="G388" s="77"/>
      <c r="K388" s="93"/>
      <c r="L388" s="94"/>
      <c r="M388" s="94"/>
      <c r="P388" s="92"/>
      <c r="Q388" s="77"/>
      <c r="R388" s="77"/>
    </row>
    <row r="389" spans="2:18" ht="15.75" customHeight="1">
      <c r="B389" s="91"/>
      <c r="D389" s="77"/>
      <c r="E389" s="77"/>
      <c r="F389" s="92"/>
      <c r="G389" s="77"/>
      <c r="K389" s="93"/>
      <c r="L389" s="94"/>
      <c r="M389" s="94"/>
      <c r="P389" s="92"/>
      <c r="Q389" s="77"/>
      <c r="R389" s="77"/>
    </row>
    <row r="390" spans="2:18" ht="15.75" customHeight="1">
      <c r="B390" s="91"/>
      <c r="D390" s="77"/>
      <c r="E390" s="77"/>
      <c r="F390" s="92"/>
      <c r="G390" s="77"/>
      <c r="K390" s="93"/>
      <c r="L390" s="94"/>
      <c r="M390" s="94"/>
      <c r="P390" s="92"/>
      <c r="Q390" s="77"/>
      <c r="R390" s="77"/>
    </row>
    <row r="391" spans="2:18" ht="15.75" customHeight="1">
      <c r="B391" s="91"/>
      <c r="D391" s="77"/>
      <c r="E391" s="77"/>
      <c r="F391" s="92"/>
      <c r="G391" s="77"/>
      <c r="K391" s="93"/>
      <c r="L391" s="94"/>
      <c r="M391" s="94"/>
      <c r="P391" s="92"/>
      <c r="Q391" s="77"/>
      <c r="R391" s="77"/>
    </row>
    <row r="392" spans="2:18" ht="15.75" customHeight="1">
      <c r="B392" s="91"/>
      <c r="D392" s="77"/>
      <c r="E392" s="77"/>
      <c r="F392" s="92"/>
      <c r="G392" s="77"/>
      <c r="K392" s="93"/>
      <c r="L392" s="94"/>
      <c r="M392" s="94"/>
      <c r="P392" s="92"/>
      <c r="Q392" s="77"/>
      <c r="R392" s="77"/>
    </row>
    <row r="393" spans="2:18" ht="15.75" customHeight="1">
      <c r="B393" s="91"/>
      <c r="D393" s="77"/>
      <c r="E393" s="77"/>
      <c r="F393" s="92"/>
      <c r="G393" s="77"/>
      <c r="K393" s="93"/>
      <c r="L393" s="94"/>
      <c r="M393" s="94"/>
      <c r="P393" s="92"/>
      <c r="Q393" s="77"/>
      <c r="R393" s="77"/>
    </row>
    <row r="394" spans="2:18" ht="15.75" customHeight="1">
      <c r="B394" s="91"/>
      <c r="D394" s="77"/>
      <c r="E394" s="77"/>
      <c r="F394" s="92"/>
      <c r="G394" s="77"/>
      <c r="K394" s="93"/>
      <c r="L394" s="94"/>
      <c r="M394" s="94"/>
      <c r="P394" s="92"/>
      <c r="Q394" s="77"/>
      <c r="R394" s="77"/>
    </row>
    <row r="395" spans="2:18" ht="15.75" customHeight="1">
      <c r="B395" s="91"/>
      <c r="D395" s="77"/>
      <c r="E395" s="77"/>
      <c r="F395" s="92"/>
      <c r="G395" s="77"/>
      <c r="K395" s="93"/>
      <c r="L395" s="94"/>
      <c r="M395" s="94"/>
      <c r="P395" s="92"/>
      <c r="Q395" s="77"/>
      <c r="R395" s="77"/>
    </row>
    <row r="396" spans="2:18" ht="15.75" customHeight="1">
      <c r="B396" s="91"/>
      <c r="D396" s="77"/>
      <c r="E396" s="77"/>
      <c r="F396" s="92"/>
      <c r="G396" s="77"/>
      <c r="K396" s="93"/>
      <c r="L396" s="94"/>
      <c r="M396" s="94"/>
      <c r="P396" s="92"/>
      <c r="Q396" s="77"/>
      <c r="R396" s="77"/>
    </row>
    <row r="397" spans="2:18" ht="15.75" customHeight="1">
      <c r="B397" s="91"/>
      <c r="D397" s="77"/>
      <c r="E397" s="77"/>
      <c r="F397" s="92"/>
      <c r="G397" s="77"/>
      <c r="K397" s="93"/>
      <c r="L397" s="94"/>
      <c r="M397" s="94"/>
      <c r="P397" s="92"/>
      <c r="Q397" s="77"/>
      <c r="R397" s="77"/>
    </row>
    <row r="398" spans="2:18" ht="15.75" customHeight="1">
      <c r="B398" s="91"/>
      <c r="D398" s="77"/>
      <c r="E398" s="77"/>
      <c r="F398" s="92"/>
      <c r="G398" s="77"/>
      <c r="K398" s="93"/>
      <c r="L398" s="94"/>
      <c r="M398" s="94"/>
      <c r="P398" s="92"/>
      <c r="Q398" s="77"/>
      <c r="R398" s="77"/>
    </row>
    <row r="399" spans="2:18" ht="15.75" customHeight="1">
      <c r="B399" s="91"/>
      <c r="D399" s="77"/>
      <c r="E399" s="77"/>
      <c r="F399" s="92"/>
      <c r="G399" s="77"/>
      <c r="K399" s="93"/>
      <c r="L399" s="94"/>
      <c r="M399" s="94"/>
      <c r="P399" s="92"/>
      <c r="Q399" s="77"/>
      <c r="R399" s="77"/>
    </row>
    <row r="400" spans="2:18" ht="15.75" customHeight="1">
      <c r="B400" s="91"/>
      <c r="D400" s="77"/>
      <c r="E400" s="77"/>
      <c r="F400" s="92"/>
      <c r="G400" s="77"/>
      <c r="K400" s="93"/>
      <c r="L400" s="94"/>
      <c r="M400" s="94"/>
      <c r="P400" s="92"/>
      <c r="Q400" s="77"/>
      <c r="R400" s="77"/>
    </row>
    <row r="401" spans="2:18" ht="15.75" customHeight="1">
      <c r="B401" s="91"/>
      <c r="D401" s="77"/>
      <c r="E401" s="77"/>
      <c r="F401" s="92"/>
      <c r="G401" s="77"/>
      <c r="K401" s="93"/>
      <c r="L401" s="94"/>
      <c r="M401" s="94"/>
      <c r="P401" s="92"/>
      <c r="Q401" s="77"/>
      <c r="R401" s="77"/>
    </row>
    <row r="402" spans="2:18" ht="15.75" customHeight="1">
      <c r="B402" s="91"/>
      <c r="D402" s="77"/>
      <c r="E402" s="77"/>
      <c r="F402" s="92"/>
      <c r="G402" s="77"/>
      <c r="K402" s="93"/>
      <c r="L402" s="94"/>
      <c r="M402" s="94"/>
      <c r="P402" s="92"/>
      <c r="Q402" s="77"/>
      <c r="R402" s="77"/>
    </row>
    <row r="403" spans="2:18" ht="15.75" customHeight="1">
      <c r="B403" s="91"/>
      <c r="D403" s="77"/>
      <c r="E403" s="77"/>
      <c r="F403" s="92"/>
      <c r="G403" s="77"/>
      <c r="K403" s="93"/>
      <c r="L403" s="94"/>
      <c r="M403" s="94"/>
      <c r="P403" s="92"/>
      <c r="Q403" s="77"/>
      <c r="R403" s="77"/>
    </row>
    <row r="404" spans="2:18" ht="15.75" customHeight="1">
      <c r="B404" s="91"/>
      <c r="D404" s="77"/>
      <c r="E404" s="77"/>
      <c r="F404" s="92"/>
      <c r="G404" s="77"/>
      <c r="K404" s="93"/>
      <c r="L404" s="94"/>
      <c r="M404" s="94"/>
      <c r="P404" s="92"/>
      <c r="Q404" s="77"/>
      <c r="R404" s="77"/>
    </row>
    <row r="405" spans="2:18" ht="15.75" customHeight="1">
      <c r="B405" s="91"/>
      <c r="D405" s="77"/>
      <c r="E405" s="77"/>
      <c r="F405" s="92"/>
      <c r="G405" s="77"/>
      <c r="K405" s="93"/>
      <c r="L405" s="94"/>
      <c r="M405" s="94"/>
      <c r="P405" s="92"/>
      <c r="Q405" s="77"/>
      <c r="R405" s="77"/>
    </row>
    <row r="406" spans="2:18" ht="15.75" customHeight="1">
      <c r="B406" s="91"/>
      <c r="D406" s="77"/>
      <c r="E406" s="77"/>
      <c r="F406" s="92"/>
      <c r="G406" s="77"/>
      <c r="K406" s="93"/>
      <c r="L406" s="94"/>
      <c r="M406" s="94"/>
      <c r="P406" s="92"/>
      <c r="Q406" s="77"/>
      <c r="R406" s="77"/>
    </row>
    <row r="407" spans="2:18" ht="15.75" customHeight="1">
      <c r="B407" s="91"/>
      <c r="D407" s="77"/>
      <c r="E407" s="77"/>
      <c r="F407" s="92"/>
      <c r="G407" s="77"/>
      <c r="K407" s="93"/>
      <c r="L407" s="94"/>
      <c r="M407" s="94"/>
      <c r="P407" s="92"/>
      <c r="Q407" s="77"/>
      <c r="R407" s="77"/>
    </row>
    <row r="408" spans="2:18" ht="15.75" customHeight="1">
      <c r="B408" s="91"/>
      <c r="D408" s="77"/>
      <c r="E408" s="77"/>
      <c r="F408" s="92"/>
      <c r="G408" s="77"/>
      <c r="K408" s="93"/>
      <c r="L408" s="94"/>
      <c r="M408" s="94"/>
      <c r="P408" s="92"/>
      <c r="Q408" s="77"/>
      <c r="R408" s="77"/>
    </row>
    <row r="409" spans="2:18" ht="15.75" customHeight="1">
      <c r="B409" s="91"/>
      <c r="D409" s="77"/>
      <c r="E409" s="77"/>
      <c r="F409" s="92"/>
      <c r="G409" s="77"/>
      <c r="K409" s="93"/>
      <c r="L409" s="94"/>
      <c r="M409" s="94"/>
      <c r="P409" s="92"/>
      <c r="Q409" s="77"/>
      <c r="R409" s="77"/>
    </row>
    <row r="410" spans="2:18" ht="15.75" customHeight="1">
      <c r="B410" s="91"/>
      <c r="D410" s="77"/>
      <c r="E410" s="77"/>
      <c r="F410" s="92"/>
      <c r="G410" s="77"/>
      <c r="K410" s="93"/>
      <c r="L410" s="94"/>
      <c r="M410" s="94"/>
      <c r="P410" s="92"/>
      <c r="Q410" s="77"/>
      <c r="R410" s="77"/>
    </row>
    <row r="411" spans="2:18" ht="15.75" customHeight="1">
      <c r="B411" s="91"/>
      <c r="D411" s="77"/>
      <c r="E411" s="77"/>
      <c r="F411" s="92"/>
      <c r="G411" s="77"/>
      <c r="K411" s="93"/>
      <c r="L411" s="94"/>
      <c r="M411" s="94"/>
      <c r="P411" s="92"/>
      <c r="Q411" s="77"/>
      <c r="R411" s="77"/>
    </row>
    <row r="412" spans="2:18" ht="15.75" customHeight="1">
      <c r="B412" s="91"/>
      <c r="D412" s="77"/>
      <c r="E412" s="77"/>
      <c r="F412" s="92"/>
      <c r="G412" s="77"/>
      <c r="K412" s="93"/>
      <c r="L412" s="94"/>
      <c r="M412" s="94"/>
      <c r="P412" s="92"/>
      <c r="Q412" s="77"/>
      <c r="R412" s="77"/>
    </row>
    <row r="413" spans="2:18" ht="15.75" customHeight="1">
      <c r="B413" s="91"/>
      <c r="D413" s="77"/>
      <c r="E413" s="77"/>
      <c r="F413" s="92"/>
      <c r="G413" s="77"/>
      <c r="K413" s="93"/>
      <c r="L413" s="94"/>
      <c r="M413" s="94"/>
      <c r="P413" s="92"/>
      <c r="Q413" s="77"/>
      <c r="R413" s="77"/>
    </row>
    <row r="414" spans="2:18" ht="15.75" customHeight="1">
      <c r="B414" s="91"/>
      <c r="D414" s="77"/>
      <c r="E414" s="77"/>
      <c r="F414" s="92"/>
      <c r="G414" s="77"/>
      <c r="K414" s="93"/>
      <c r="L414" s="94"/>
      <c r="M414" s="94"/>
      <c r="P414" s="92"/>
      <c r="Q414" s="77"/>
      <c r="R414" s="77"/>
    </row>
    <row r="415" spans="2:18" ht="15.75" customHeight="1">
      <c r="B415" s="91"/>
      <c r="D415" s="77"/>
      <c r="E415" s="77"/>
      <c r="F415" s="92"/>
      <c r="G415" s="77"/>
      <c r="K415" s="93"/>
      <c r="L415" s="94"/>
      <c r="M415" s="94"/>
      <c r="P415" s="92"/>
      <c r="Q415" s="77"/>
      <c r="R415" s="77"/>
    </row>
    <row r="416" spans="2:18" ht="15.75" customHeight="1">
      <c r="B416" s="91"/>
      <c r="D416" s="77"/>
      <c r="E416" s="77"/>
      <c r="F416" s="92"/>
      <c r="G416" s="77"/>
      <c r="K416" s="93"/>
      <c r="L416" s="94"/>
      <c r="M416" s="94"/>
      <c r="P416" s="92"/>
      <c r="Q416" s="77"/>
      <c r="R416" s="77"/>
    </row>
    <row r="417" spans="2:18" ht="15.75" customHeight="1">
      <c r="B417" s="91"/>
      <c r="D417" s="77"/>
      <c r="E417" s="77"/>
      <c r="F417" s="92"/>
      <c r="G417" s="77"/>
      <c r="K417" s="93"/>
      <c r="L417" s="94"/>
      <c r="M417" s="94"/>
      <c r="P417" s="92"/>
      <c r="Q417" s="77"/>
      <c r="R417" s="77"/>
    </row>
    <row r="418" spans="2:18" ht="15.75" customHeight="1">
      <c r="B418" s="91"/>
      <c r="D418" s="77"/>
      <c r="E418" s="77"/>
      <c r="F418" s="92"/>
      <c r="G418" s="77"/>
      <c r="K418" s="93"/>
      <c r="L418" s="94"/>
      <c r="M418" s="94"/>
      <c r="P418" s="92"/>
      <c r="Q418" s="77"/>
      <c r="R418" s="77"/>
    </row>
    <row r="419" spans="2:18" ht="15.75" customHeight="1">
      <c r="B419" s="91"/>
      <c r="D419" s="77"/>
      <c r="E419" s="77"/>
      <c r="F419" s="92"/>
      <c r="G419" s="77"/>
      <c r="K419" s="93"/>
      <c r="L419" s="94"/>
      <c r="M419" s="94"/>
      <c r="P419" s="92"/>
      <c r="Q419" s="77"/>
      <c r="R419" s="77"/>
    </row>
    <row r="420" spans="2:18" ht="15.75" customHeight="1">
      <c r="B420" s="91"/>
      <c r="D420" s="77"/>
      <c r="E420" s="77"/>
      <c r="F420" s="92"/>
      <c r="G420" s="77"/>
      <c r="K420" s="93"/>
      <c r="L420" s="94"/>
      <c r="M420" s="94"/>
      <c r="P420" s="92"/>
      <c r="Q420" s="77"/>
      <c r="R420" s="77"/>
    </row>
    <row r="421" spans="2:18" ht="15.75" customHeight="1">
      <c r="B421" s="91"/>
      <c r="D421" s="77"/>
      <c r="E421" s="77"/>
      <c r="F421" s="92"/>
      <c r="G421" s="77"/>
      <c r="K421" s="93"/>
      <c r="L421" s="94"/>
      <c r="M421" s="94"/>
      <c r="P421" s="92"/>
      <c r="Q421" s="77"/>
      <c r="R421" s="77"/>
    </row>
    <row r="422" spans="2:18" ht="15.75" customHeight="1">
      <c r="B422" s="91"/>
      <c r="D422" s="77"/>
      <c r="E422" s="77"/>
      <c r="F422" s="92"/>
      <c r="G422" s="77"/>
      <c r="K422" s="93"/>
      <c r="L422" s="94"/>
      <c r="M422" s="94"/>
      <c r="P422" s="92"/>
      <c r="Q422" s="77"/>
      <c r="R422" s="77"/>
    </row>
    <row r="423" spans="2:18" ht="15.75" customHeight="1">
      <c r="B423" s="91"/>
      <c r="D423" s="77"/>
      <c r="E423" s="77"/>
      <c r="F423" s="92"/>
      <c r="G423" s="77"/>
      <c r="K423" s="93"/>
      <c r="L423" s="94"/>
      <c r="M423" s="94"/>
      <c r="P423" s="92"/>
      <c r="Q423" s="77"/>
      <c r="R423" s="77"/>
    </row>
    <row r="424" spans="2:18" ht="15.75" customHeight="1">
      <c r="B424" s="91"/>
      <c r="D424" s="77"/>
      <c r="E424" s="77"/>
      <c r="F424" s="92"/>
      <c r="G424" s="77"/>
      <c r="K424" s="93"/>
      <c r="L424" s="94"/>
      <c r="M424" s="94"/>
      <c r="P424" s="92"/>
      <c r="Q424" s="77"/>
      <c r="R424" s="77"/>
    </row>
    <row r="425" spans="2:18" ht="15.75" customHeight="1">
      <c r="B425" s="91"/>
      <c r="D425" s="77"/>
      <c r="E425" s="77"/>
      <c r="F425" s="92"/>
      <c r="G425" s="77"/>
      <c r="K425" s="93"/>
      <c r="L425" s="94"/>
      <c r="M425" s="94"/>
      <c r="P425" s="92"/>
      <c r="Q425" s="77"/>
      <c r="R425" s="77"/>
    </row>
    <row r="426" spans="2:18" ht="15.75" customHeight="1">
      <c r="B426" s="91"/>
      <c r="D426" s="77"/>
      <c r="E426" s="77"/>
      <c r="F426" s="92"/>
      <c r="G426" s="77"/>
      <c r="K426" s="93"/>
      <c r="L426" s="94"/>
      <c r="M426" s="94"/>
      <c r="P426" s="92"/>
      <c r="Q426" s="77"/>
      <c r="R426" s="77"/>
    </row>
    <row r="427" spans="2:18" ht="15.75" customHeight="1">
      <c r="B427" s="91"/>
      <c r="D427" s="77"/>
      <c r="E427" s="77"/>
      <c r="F427" s="92"/>
      <c r="G427" s="77"/>
      <c r="K427" s="93"/>
      <c r="L427" s="94"/>
      <c r="M427" s="94"/>
      <c r="P427" s="92"/>
      <c r="Q427" s="77"/>
      <c r="R427" s="77"/>
    </row>
    <row r="428" spans="2:18" ht="15.75" customHeight="1">
      <c r="B428" s="91"/>
      <c r="D428" s="77"/>
      <c r="E428" s="77"/>
      <c r="F428" s="92"/>
      <c r="G428" s="77"/>
      <c r="K428" s="93"/>
      <c r="L428" s="94"/>
      <c r="M428" s="94"/>
      <c r="P428" s="92"/>
      <c r="Q428" s="77"/>
      <c r="R428" s="77"/>
    </row>
    <row r="429" spans="2:18" ht="15.75" customHeight="1">
      <c r="B429" s="91"/>
      <c r="D429" s="77"/>
      <c r="E429" s="77"/>
      <c r="F429" s="92"/>
      <c r="G429" s="77"/>
      <c r="K429" s="93"/>
      <c r="L429" s="94"/>
      <c r="M429" s="94"/>
      <c r="P429" s="92"/>
      <c r="Q429" s="77"/>
      <c r="R429" s="77"/>
    </row>
    <row r="430" spans="2:18" ht="15.75" customHeight="1">
      <c r="B430" s="91"/>
      <c r="D430" s="77"/>
      <c r="E430" s="77"/>
      <c r="F430" s="92"/>
      <c r="G430" s="77"/>
      <c r="K430" s="93"/>
      <c r="L430" s="94"/>
      <c r="M430" s="94"/>
      <c r="P430" s="92"/>
      <c r="Q430" s="77"/>
      <c r="R430" s="77"/>
    </row>
    <row r="431" spans="2:18" ht="15.75" customHeight="1">
      <c r="B431" s="91"/>
      <c r="D431" s="77"/>
      <c r="E431" s="77"/>
      <c r="F431" s="92"/>
      <c r="G431" s="77"/>
      <c r="K431" s="93"/>
      <c r="L431" s="94"/>
      <c r="M431" s="94"/>
      <c r="P431" s="92"/>
      <c r="Q431" s="77"/>
      <c r="R431" s="77"/>
    </row>
    <row r="432" spans="2:18" ht="15.75" customHeight="1">
      <c r="B432" s="91"/>
      <c r="D432" s="77"/>
      <c r="E432" s="77"/>
      <c r="F432" s="92"/>
      <c r="G432" s="77"/>
      <c r="K432" s="93"/>
      <c r="L432" s="94"/>
      <c r="M432" s="94"/>
      <c r="P432" s="92"/>
      <c r="Q432" s="77"/>
      <c r="R432" s="77"/>
    </row>
    <row r="433" spans="2:18" ht="15.75" customHeight="1">
      <c r="B433" s="91"/>
      <c r="D433" s="77"/>
      <c r="E433" s="77"/>
      <c r="F433" s="92"/>
      <c r="G433" s="77"/>
      <c r="K433" s="93"/>
      <c r="L433" s="94"/>
      <c r="M433" s="94"/>
      <c r="P433" s="92"/>
      <c r="Q433" s="77"/>
      <c r="R433" s="77"/>
    </row>
    <row r="434" spans="2:18" ht="15.75" customHeight="1">
      <c r="B434" s="91"/>
      <c r="D434" s="77"/>
      <c r="E434" s="77"/>
      <c r="F434" s="92"/>
      <c r="G434" s="77"/>
      <c r="K434" s="93"/>
      <c r="L434" s="94"/>
      <c r="M434" s="94"/>
      <c r="P434" s="92"/>
      <c r="Q434" s="77"/>
      <c r="R434" s="77"/>
    </row>
    <row r="435" spans="2:18" ht="15.75" customHeight="1">
      <c r="B435" s="91"/>
      <c r="D435" s="77"/>
      <c r="E435" s="77"/>
      <c r="F435" s="92"/>
      <c r="G435" s="77"/>
      <c r="K435" s="93"/>
      <c r="L435" s="94"/>
      <c r="M435" s="94"/>
      <c r="P435" s="92"/>
      <c r="Q435" s="77"/>
      <c r="R435" s="77"/>
    </row>
    <row r="436" spans="2:18" ht="15.75" customHeight="1">
      <c r="B436" s="91"/>
      <c r="D436" s="77"/>
      <c r="E436" s="77"/>
      <c r="F436" s="92"/>
      <c r="G436" s="77"/>
      <c r="K436" s="93"/>
      <c r="L436" s="94"/>
      <c r="M436" s="94"/>
      <c r="P436" s="92"/>
      <c r="Q436" s="77"/>
      <c r="R436" s="77"/>
    </row>
    <row r="437" spans="2:18" ht="15.75" customHeight="1">
      <c r="B437" s="91"/>
      <c r="D437" s="77"/>
      <c r="E437" s="77"/>
      <c r="F437" s="92"/>
      <c r="G437" s="77"/>
      <c r="K437" s="93"/>
      <c r="L437" s="94"/>
      <c r="M437" s="94"/>
      <c r="P437" s="92"/>
      <c r="Q437" s="77"/>
      <c r="R437" s="77"/>
    </row>
    <row r="438" spans="2:18" ht="15.75" customHeight="1">
      <c r="B438" s="91"/>
      <c r="D438" s="77"/>
      <c r="E438" s="77"/>
      <c r="F438" s="92"/>
      <c r="G438" s="77"/>
      <c r="K438" s="93"/>
      <c r="L438" s="94"/>
      <c r="M438" s="94"/>
      <c r="P438" s="92"/>
      <c r="Q438" s="77"/>
      <c r="R438" s="77"/>
    </row>
    <row r="439" spans="2:18" ht="15.75" customHeight="1">
      <c r="B439" s="91"/>
      <c r="D439" s="77"/>
      <c r="E439" s="77"/>
      <c r="F439" s="92"/>
      <c r="G439" s="77"/>
      <c r="K439" s="93"/>
      <c r="L439" s="94"/>
      <c r="M439" s="94"/>
      <c r="P439" s="92"/>
      <c r="Q439" s="77"/>
      <c r="R439" s="77"/>
    </row>
    <row r="440" spans="2:18" ht="15.75" customHeight="1">
      <c r="B440" s="91"/>
      <c r="D440" s="77"/>
      <c r="E440" s="77"/>
      <c r="F440" s="92"/>
      <c r="G440" s="77"/>
      <c r="K440" s="93"/>
      <c r="L440" s="94"/>
      <c r="M440" s="94"/>
      <c r="P440" s="92"/>
      <c r="Q440" s="77"/>
      <c r="R440" s="77"/>
    </row>
    <row r="441" spans="2:18" ht="15.75" customHeight="1">
      <c r="B441" s="91"/>
      <c r="D441" s="77"/>
      <c r="E441" s="77"/>
      <c r="F441" s="92"/>
      <c r="G441" s="77"/>
      <c r="K441" s="93"/>
      <c r="L441" s="94"/>
      <c r="M441" s="94"/>
      <c r="P441" s="92"/>
      <c r="Q441" s="77"/>
      <c r="R441" s="77"/>
    </row>
    <row r="442" spans="2:18" ht="15.75" customHeight="1">
      <c r="B442" s="91"/>
      <c r="D442" s="77"/>
      <c r="E442" s="77"/>
      <c r="F442" s="92"/>
      <c r="G442" s="77"/>
      <c r="K442" s="93"/>
      <c r="L442" s="94"/>
      <c r="M442" s="94"/>
      <c r="P442" s="92"/>
      <c r="Q442" s="77"/>
      <c r="R442" s="77"/>
    </row>
    <row r="443" spans="2:18" ht="15.75" customHeight="1">
      <c r="B443" s="91"/>
      <c r="D443" s="77"/>
      <c r="E443" s="77"/>
      <c r="F443" s="92"/>
      <c r="G443" s="77"/>
      <c r="K443" s="93"/>
      <c r="L443" s="94"/>
      <c r="M443" s="94"/>
      <c r="P443" s="92"/>
      <c r="Q443" s="77"/>
      <c r="R443" s="77"/>
    </row>
    <row r="444" spans="2:18" ht="15.75" customHeight="1">
      <c r="B444" s="91"/>
      <c r="D444" s="77"/>
      <c r="E444" s="77"/>
      <c r="F444" s="92"/>
      <c r="G444" s="77"/>
      <c r="K444" s="93"/>
      <c r="L444" s="94"/>
      <c r="M444" s="94"/>
      <c r="P444" s="92"/>
      <c r="Q444" s="77"/>
      <c r="R444" s="77"/>
    </row>
    <row r="445" spans="2:18" ht="15.75" customHeight="1">
      <c r="B445" s="91"/>
      <c r="D445" s="77"/>
      <c r="E445" s="77"/>
      <c r="F445" s="92"/>
      <c r="G445" s="77"/>
      <c r="K445" s="93"/>
      <c r="L445" s="94"/>
      <c r="M445" s="94"/>
      <c r="P445" s="92"/>
      <c r="Q445" s="77"/>
      <c r="R445" s="77"/>
    </row>
    <row r="446" spans="2:18" ht="15.75" customHeight="1">
      <c r="B446" s="91"/>
      <c r="D446" s="77"/>
      <c r="E446" s="77"/>
      <c r="F446" s="92"/>
      <c r="G446" s="77"/>
      <c r="K446" s="93"/>
      <c r="L446" s="94"/>
      <c r="M446" s="94"/>
      <c r="P446" s="92"/>
      <c r="Q446" s="77"/>
      <c r="R446" s="77"/>
    </row>
    <row r="447" spans="2:18" ht="15.75" customHeight="1">
      <c r="B447" s="91"/>
      <c r="D447" s="77"/>
      <c r="E447" s="77"/>
      <c r="F447" s="92"/>
      <c r="G447" s="77"/>
      <c r="K447" s="93"/>
      <c r="L447" s="94"/>
      <c r="M447" s="94"/>
      <c r="P447" s="92"/>
      <c r="Q447" s="77"/>
      <c r="R447" s="77"/>
    </row>
    <row r="448" spans="2:18" ht="15.75" customHeight="1">
      <c r="B448" s="91"/>
      <c r="D448" s="77"/>
      <c r="E448" s="77"/>
      <c r="F448" s="92"/>
      <c r="G448" s="77"/>
      <c r="K448" s="93"/>
      <c r="L448" s="94"/>
      <c r="M448" s="94"/>
      <c r="P448" s="92"/>
      <c r="Q448" s="77"/>
      <c r="R448" s="77"/>
    </row>
    <row r="449" spans="2:18" ht="15.75" customHeight="1">
      <c r="B449" s="91"/>
      <c r="D449" s="77"/>
      <c r="E449" s="77"/>
      <c r="F449" s="92"/>
      <c r="G449" s="77"/>
      <c r="K449" s="93"/>
      <c r="L449" s="94"/>
      <c r="M449" s="94"/>
      <c r="P449" s="92"/>
      <c r="Q449" s="77"/>
      <c r="R449" s="77"/>
    </row>
    <row r="450" spans="2:18" ht="15.75" customHeight="1">
      <c r="B450" s="91"/>
      <c r="D450" s="77"/>
      <c r="E450" s="77"/>
      <c r="F450" s="92"/>
      <c r="G450" s="77"/>
      <c r="K450" s="93"/>
      <c r="L450" s="94"/>
      <c r="M450" s="94"/>
      <c r="P450" s="92"/>
      <c r="Q450" s="77"/>
      <c r="R450" s="77"/>
    </row>
    <row r="451" spans="2:18" ht="15.75" customHeight="1">
      <c r="B451" s="91"/>
      <c r="D451" s="77"/>
      <c r="E451" s="77"/>
      <c r="F451" s="92"/>
      <c r="G451" s="77"/>
      <c r="K451" s="93"/>
      <c r="L451" s="94"/>
      <c r="M451" s="94"/>
      <c r="P451" s="92"/>
      <c r="Q451" s="77"/>
      <c r="R451" s="77"/>
    </row>
    <row r="452" spans="2:18" ht="15.75" customHeight="1">
      <c r="B452" s="91"/>
      <c r="D452" s="77"/>
      <c r="E452" s="77"/>
      <c r="F452" s="92"/>
      <c r="G452" s="77"/>
      <c r="K452" s="93"/>
      <c r="L452" s="94"/>
      <c r="M452" s="94"/>
      <c r="P452" s="92"/>
      <c r="Q452" s="77"/>
      <c r="R452" s="77"/>
    </row>
    <row r="453" spans="2:18" ht="15.75" customHeight="1">
      <c r="B453" s="91"/>
      <c r="D453" s="77"/>
      <c r="E453" s="77"/>
      <c r="F453" s="92"/>
      <c r="G453" s="77"/>
      <c r="K453" s="93"/>
      <c r="L453" s="94"/>
      <c r="M453" s="94"/>
      <c r="P453" s="92"/>
      <c r="Q453" s="77"/>
      <c r="R453" s="77"/>
    </row>
    <row r="454" spans="2:18" ht="15.75" customHeight="1">
      <c r="B454" s="91"/>
      <c r="D454" s="77"/>
      <c r="E454" s="77"/>
      <c r="F454" s="92"/>
      <c r="G454" s="77"/>
      <c r="K454" s="93"/>
      <c r="L454" s="94"/>
      <c r="M454" s="94"/>
      <c r="P454" s="92"/>
      <c r="Q454" s="77"/>
      <c r="R454" s="77"/>
    </row>
    <row r="455" spans="2:18" ht="15.75" customHeight="1">
      <c r="B455" s="91"/>
      <c r="D455" s="77"/>
      <c r="E455" s="77"/>
      <c r="F455" s="92"/>
      <c r="G455" s="77"/>
      <c r="K455" s="93"/>
      <c r="L455" s="94"/>
      <c r="M455" s="94"/>
      <c r="P455" s="92"/>
      <c r="Q455" s="77"/>
      <c r="R455" s="77"/>
    </row>
    <row r="456" spans="2:18" ht="15.75" customHeight="1">
      <c r="B456" s="91"/>
      <c r="D456" s="77"/>
      <c r="E456" s="77"/>
      <c r="F456" s="92"/>
      <c r="G456" s="77"/>
      <c r="K456" s="93"/>
      <c r="L456" s="94"/>
      <c r="M456" s="94"/>
      <c r="P456" s="92"/>
      <c r="Q456" s="77"/>
      <c r="R456" s="77"/>
    </row>
    <row r="457" spans="2:18" ht="15.75" customHeight="1">
      <c r="B457" s="91"/>
      <c r="D457" s="77"/>
      <c r="E457" s="77"/>
      <c r="F457" s="92"/>
      <c r="G457" s="77"/>
      <c r="K457" s="93"/>
      <c r="L457" s="94"/>
      <c r="M457" s="94"/>
      <c r="P457" s="92"/>
      <c r="Q457" s="77"/>
      <c r="R457" s="77"/>
    </row>
    <row r="458" spans="2:18" ht="15.75" customHeight="1">
      <c r="B458" s="91"/>
      <c r="D458" s="77"/>
      <c r="E458" s="77"/>
      <c r="F458" s="92"/>
      <c r="G458" s="77"/>
      <c r="K458" s="93"/>
      <c r="L458" s="94"/>
      <c r="M458" s="94"/>
      <c r="P458" s="92"/>
      <c r="Q458" s="77"/>
      <c r="R458" s="77"/>
    </row>
    <row r="459" spans="2:18" ht="15.75" customHeight="1">
      <c r="B459" s="91"/>
      <c r="D459" s="77"/>
      <c r="E459" s="77"/>
      <c r="F459" s="92"/>
      <c r="G459" s="77"/>
      <c r="K459" s="93"/>
      <c r="L459" s="94"/>
      <c r="M459" s="94"/>
      <c r="P459" s="92"/>
      <c r="Q459" s="77"/>
      <c r="R459" s="77"/>
    </row>
    <row r="460" spans="2:18" ht="15.75" customHeight="1">
      <c r="B460" s="91"/>
      <c r="D460" s="77"/>
      <c r="E460" s="77"/>
      <c r="F460" s="92"/>
      <c r="G460" s="77"/>
      <c r="K460" s="93"/>
      <c r="L460" s="94"/>
      <c r="M460" s="94"/>
      <c r="P460" s="92"/>
      <c r="Q460" s="77"/>
      <c r="R460" s="77"/>
    </row>
    <row r="461" spans="2:18" ht="15.75" customHeight="1">
      <c r="B461" s="91"/>
      <c r="D461" s="77"/>
      <c r="E461" s="77"/>
      <c r="F461" s="92"/>
      <c r="G461" s="77"/>
      <c r="K461" s="93"/>
      <c r="L461" s="94"/>
      <c r="M461" s="94"/>
      <c r="P461" s="92"/>
      <c r="Q461" s="77"/>
      <c r="R461" s="77"/>
    </row>
    <row r="462" spans="2:18" ht="15.75" customHeight="1">
      <c r="B462" s="91"/>
      <c r="D462" s="77"/>
      <c r="E462" s="77"/>
      <c r="F462" s="92"/>
      <c r="G462" s="77"/>
      <c r="K462" s="93"/>
      <c r="L462" s="94"/>
      <c r="M462" s="94"/>
      <c r="P462" s="92"/>
      <c r="Q462" s="77"/>
      <c r="R462" s="77"/>
    </row>
    <row r="463" spans="2:18" ht="15.75" customHeight="1">
      <c r="B463" s="91"/>
      <c r="D463" s="77"/>
      <c r="E463" s="77"/>
      <c r="F463" s="92"/>
      <c r="G463" s="77"/>
      <c r="K463" s="93"/>
      <c r="L463" s="94"/>
      <c r="M463" s="94"/>
      <c r="P463" s="92"/>
      <c r="Q463" s="77"/>
      <c r="R463" s="77"/>
    </row>
    <row r="464" spans="2:18" ht="15.75" customHeight="1">
      <c r="B464" s="91"/>
      <c r="D464" s="77"/>
      <c r="E464" s="77"/>
      <c r="F464" s="92"/>
      <c r="G464" s="77"/>
      <c r="K464" s="93"/>
      <c r="L464" s="94"/>
      <c r="M464" s="94"/>
      <c r="P464" s="92"/>
      <c r="Q464" s="77"/>
      <c r="R464" s="77"/>
    </row>
    <row r="465" spans="2:18" ht="15.75" customHeight="1">
      <c r="B465" s="91"/>
      <c r="D465" s="77"/>
      <c r="E465" s="77"/>
      <c r="F465" s="92"/>
      <c r="G465" s="77"/>
      <c r="K465" s="93"/>
      <c r="L465" s="94"/>
      <c r="M465" s="94"/>
      <c r="P465" s="92"/>
      <c r="Q465" s="77"/>
      <c r="R465" s="77"/>
    </row>
    <row r="466" spans="2:18" ht="15.75" customHeight="1">
      <c r="B466" s="91"/>
      <c r="D466" s="77"/>
      <c r="E466" s="77"/>
      <c r="F466" s="92"/>
      <c r="G466" s="77"/>
      <c r="K466" s="93"/>
      <c r="L466" s="94"/>
      <c r="M466" s="94"/>
      <c r="P466" s="92"/>
      <c r="Q466" s="77"/>
      <c r="R466" s="77"/>
    </row>
    <row r="467" spans="2:18" ht="15.75" customHeight="1">
      <c r="B467" s="91"/>
      <c r="D467" s="77"/>
      <c r="E467" s="77"/>
      <c r="F467" s="92"/>
      <c r="G467" s="77"/>
      <c r="K467" s="93"/>
      <c r="L467" s="94"/>
      <c r="M467" s="94"/>
      <c r="P467" s="92"/>
      <c r="Q467" s="77"/>
      <c r="R467" s="77"/>
    </row>
    <row r="468" spans="2:18" ht="15.75" customHeight="1">
      <c r="B468" s="91"/>
      <c r="D468" s="77"/>
      <c r="E468" s="77"/>
      <c r="F468" s="92"/>
      <c r="G468" s="77"/>
      <c r="K468" s="93"/>
      <c r="L468" s="94"/>
      <c r="M468" s="94"/>
      <c r="P468" s="92"/>
      <c r="Q468" s="77"/>
      <c r="R468" s="77"/>
    </row>
    <row r="469" spans="2:18" ht="15.75" customHeight="1">
      <c r="B469" s="91"/>
      <c r="D469" s="77"/>
      <c r="E469" s="77"/>
      <c r="F469" s="92"/>
      <c r="G469" s="77"/>
      <c r="K469" s="93"/>
      <c r="L469" s="94"/>
      <c r="M469" s="94"/>
      <c r="P469" s="92"/>
      <c r="Q469" s="77"/>
      <c r="R469" s="77"/>
    </row>
    <row r="470" spans="2:18" ht="15.75" customHeight="1">
      <c r="B470" s="91"/>
      <c r="D470" s="77"/>
      <c r="E470" s="77"/>
      <c r="F470" s="92"/>
      <c r="G470" s="77"/>
      <c r="K470" s="93"/>
      <c r="L470" s="94"/>
      <c r="M470" s="94"/>
      <c r="P470" s="92"/>
      <c r="Q470" s="77"/>
      <c r="R470" s="77"/>
    </row>
    <row r="471" spans="2:18" ht="15.75" customHeight="1">
      <c r="B471" s="91"/>
      <c r="D471" s="77"/>
      <c r="E471" s="77"/>
      <c r="F471" s="92"/>
      <c r="G471" s="77"/>
      <c r="K471" s="93"/>
      <c r="L471" s="94"/>
      <c r="M471" s="94"/>
      <c r="P471" s="92"/>
      <c r="Q471" s="77"/>
      <c r="R471" s="77"/>
    </row>
    <row r="472" spans="2:18" ht="15.75" customHeight="1">
      <c r="B472" s="91"/>
      <c r="D472" s="77"/>
      <c r="E472" s="77"/>
      <c r="F472" s="92"/>
      <c r="G472" s="77"/>
      <c r="K472" s="93"/>
      <c r="L472" s="94"/>
      <c r="M472" s="94"/>
      <c r="P472" s="92"/>
      <c r="Q472" s="77"/>
      <c r="R472" s="77"/>
    </row>
    <row r="473" spans="2:18" ht="15.75" customHeight="1">
      <c r="B473" s="91"/>
      <c r="D473" s="77"/>
      <c r="E473" s="77"/>
      <c r="F473" s="92"/>
      <c r="G473" s="77"/>
      <c r="K473" s="93"/>
      <c r="L473" s="94"/>
      <c r="M473" s="94"/>
      <c r="P473" s="92"/>
      <c r="Q473" s="77"/>
      <c r="R473" s="77"/>
    </row>
    <row r="474" spans="2:18" ht="15.75" customHeight="1">
      <c r="B474" s="91"/>
      <c r="D474" s="77"/>
      <c r="E474" s="77"/>
      <c r="F474" s="92"/>
      <c r="G474" s="77"/>
      <c r="K474" s="93"/>
      <c r="L474" s="94"/>
      <c r="M474" s="94"/>
      <c r="P474" s="92"/>
      <c r="Q474" s="77"/>
      <c r="R474" s="77"/>
    </row>
    <row r="475" spans="2:18" ht="15.75" customHeight="1">
      <c r="B475" s="91"/>
      <c r="D475" s="77"/>
      <c r="E475" s="77"/>
      <c r="F475" s="92"/>
      <c r="G475" s="77"/>
      <c r="K475" s="93"/>
      <c r="L475" s="94"/>
      <c r="M475" s="94"/>
      <c r="P475" s="92"/>
      <c r="Q475" s="77"/>
      <c r="R475" s="77"/>
    </row>
    <row r="476" spans="2:18" ht="15.75" customHeight="1">
      <c r="B476" s="91"/>
      <c r="D476" s="77"/>
      <c r="E476" s="77"/>
      <c r="F476" s="92"/>
      <c r="G476" s="77"/>
      <c r="K476" s="93"/>
      <c r="L476" s="94"/>
      <c r="M476" s="94"/>
      <c r="P476" s="92"/>
      <c r="Q476" s="77"/>
      <c r="R476" s="77"/>
    </row>
    <row r="477" spans="2:18" ht="15.75" customHeight="1">
      <c r="B477" s="91"/>
      <c r="D477" s="77"/>
      <c r="E477" s="77"/>
      <c r="F477" s="92"/>
      <c r="G477" s="77"/>
      <c r="K477" s="93"/>
      <c r="L477" s="94"/>
      <c r="M477" s="94"/>
      <c r="P477" s="92"/>
      <c r="Q477" s="77"/>
      <c r="R477" s="77"/>
    </row>
    <row r="478" spans="2:18" ht="15.75" customHeight="1">
      <c r="B478" s="91"/>
      <c r="D478" s="77"/>
      <c r="E478" s="77"/>
      <c r="F478" s="92"/>
      <c r="G478" s="77"/>
      <c r="K478" s="93"/>
      <c r="L478" s="94"/>
      <c r="M478" s="94"/>
      <c r="P478" s="92"/>
      <c r="Q478" s="77"/>
      <c r="R478" s="77"/>
    </row>
    <row r="479" spans="2:18" ht="15.75" customHeight="1">
      <c r="B479" s="91"/>
      <c r="D479" s="77"/>
      <c r="E479" s="77"/>
      <c r="F479" s="92"/>
      <c r="G479" s="77"/>
      <c r="K479" s="93"/>
      <c r="L479" s="94"/>
      <c r="M479" s="94"/>
      <c r="P479" s="92"/>
      <c r="Q479" s="77"/>
      <c r="R479" s="77"/>
    </row>
    <row r="480" spans="2:18" ht="15.75" customHeight="1">
      <c r="B480" s="91"/>
      <c r="D480" s="77"/>
      <c r="E480" s="77"/>
      <c r="F480" s="92"/>
      <c r="G480" s="77"/>
      <c r="K480" s="93"/>
      <c r="L480" s="94"/>
      <c r="M480" s="94"/>
      <c r="P480" s="92"/>
      <c r="Q480" s="77"/>
      <c r="R480" s="77"/>
    </row>
    <row r="481" spans="2:18" ht="15.75" customHeight="1">
      <c r="B481" s="91"/>
      <c r="D481" s="77"/>
      <c r="E481" s="77"/>
      <c r="F481" s="92"/>
      <c r="G481" s="77"/>
      <c r="K481" s="93"/>
      <c r="L481" s="94"/>
      <c r="M481" s="94"/>
      <c r="P481" s="92"/>
      <c r="Q481" s="77"/>
      <c r="R481" s="77"/>
    </row>
    <row r="482" spans="2:18" ht="15.75" customHeight="1">
      <c r="B482" s="91"/>
      <c r="D482" s="77"/>
      <c r="E482" s="77"/>
      <c r="F482" s="92"/>
      <c r="G482" s="77"/>
      <c r="K482" s="93"/>
      <c r="L482" s="94"/>
      <c r="M482" s="94"/>
      <c r="P482" s="92"/>
      <c r="Q482" s="77"/>
      <c r="R482" s="77"/>
    </row>
    <row r="483" spans="2:18" ht="15.75" customHeight="1">
      <c r="B483" s="91"/>
      <c r="D483" s="77"/>
      <c r="E483" s="77"/>
      <c r="F483" s="92"/>
      <c r="G483" s="77"/>
      <c r="K483" s="93"/>
      <c r="L483" s="94"/>
      <c r="M483" s="94"/>
      <c r="P483" s="92"/>
      <c r="Q483" s="77"/>
      <c r="R483" s="77"/>
    </row>
    <row r="484" spans="2:18" ht="15.75" customHeight="1">
      <c r="B484" s="91"/>
      <c r="D484" s="77"/>
      <c r="E484" s="77"/>
      <c r="F484" s="92"/>
      <c r="G484" s="77"/>
      <c r="K484" s="93"/>
      <c r="L484" s="94"/>
      <c r="M484" s="94"/>
      <c r="P484" s="92"/>
      <c r="Q484" s="77"/>
      <c r="R484" s="77"/>
    </row>
    <row r="485" spans="2:18" ht="15.75" customHeight="1">
      <c r="B485" s="91"/>
      <c r="D485" s="77"/>
      <c r="E485" s="77"/>
      <c r="F485" s="92"/>
      <c r="G485" s="77"/>
      <c r="K485" s="93"/>
      <c r="L485" s="94"/>
      <c r="M485" s="94"/>
      <c r="P485" s="92"/>
      <c r="Q485" s="77"/>
      <c r="R485" s="77"/>
    </row>
    <row r="486" spans="2:18" ht="15.75" customHeight="1">
      <c r="B486" s="91"/>
      <c r="D486" s="77"/>
      <c r="E486" s="77"/>
      <c r="F486" s="92"/>
      <c r="G486" s="77"/>
      <c r="K486" s="93"/>
      <c r="L486" s="94"/>
      <c r="M486" s="94"/>
      <c r="P486" s="92"/>
      <c r="Q486" s="77"/>
      <c r="R486" s="77"/>
    </row>
    <row r="487" spans="2:18" ht="15.75" customHeight="1">
      <c r="B487" s="91"/>
      <c r="D487" s="77"/>
      <c r="E487" s="77"/>
      <c r="F487" s="92"/>
      <c r="G487" s="77"/>
      <c r="K487" s="93"/>
      <c r="L487" s="94"/>
      <c r="M487" s="94"/>
      <c r="P487" s="92"/>
      <c r="Q487" s="77"/>
      <c r="R487" s="77"/>
    </row>
    <row r="488" spans="2:18" ht="15.75" customHeight="1">
      <c r="B488" s="91"/>
      <c r="D488" s="77"/>
      <c r="E488" s="77"/>
      <c r="F488" s="92"/>
      <c r="G488" s="77"/>
      <c r="K488" s="93"/>
      <c r="L488" s="94"/>
      <c r="M488" s="94"/>
      <c r="P488" s="92"/>
      <c r="Q488" s="77"/>
      <c r="R488" s="77"/>
    </row>
    <row r="489" spans="2:18" ht="15.75" customHeight="1">
      <c r="B489" s="91"/>
      <c r="D489" s="77"/>
      <c r="E489" s="77"/>
      <c r="F489" s="92"/>
      <c r="G489" s="77"/>
      <c r="K489" s="93"/>
      <c r="L489" s="94"/>
      <c r="M489" s="94"/>
      <c r="P489" s="92"/>
      <c r="Q489" s="77"/>
      <c r="R489" s="77"/>
    </row>
    <row r="490" spans="2:18" ht="15.75" customHeight="1">
      <c r="B490" s="91"/>
      <c r="D490" s="77"/>
      <c r="E490" s="77"/>
      <c r="F490" s="92"/>
      <c r="G490" s="77"/>
      <c r="K490" s="93"/>
      <c r="L490" s="94"/>
      <c r="M490" s="94"/>
      <c r="P490" s="92"/>
      <c r="Q490" s="77"/>
      <c r="R490" s="77"/>
    </row>
    <row r="491" spans="2:18" ht="15.75" customHeight="1">
      <c r="B491" s="91"/>
      <c r="D491" s="77"/>
      <c r="E491" s="77"/>
      <c r="F491" s="92"/>
      <c r="G491" s="77"/>
      <c r="K491" s="93"/>
      <c r="L491" s="94"/>
      <c r="M491" s="94"/>
      <c r="P491" s="92"/>
      <c r="Q491" s="77"/>
      <c r="R491" s="77"/>
    </row>
    <row r="492" spans="2:18" ht="15.75" customHeight="1">
      <c r="B492" s="91"/>
      <c r="D492" s="77"/>
      <c r="E492" s="77"/>
      <c r="F492" s="92"/>
      <c r="G492" s="77"/>
      <c r="K492" s="93"/>
      <c r="L492" s="94"/>
      <c r="M492" s="94"/>
      <c r="P492" s="92"/>
      <c r="Q492" s="77"/>
      <c r="R492" s="77"/>
    </row>
    <row r="493" spans="2:18" ht="15.75" customHeight="1">
      <c r="B493" s="91"/>
      <c r="D493" s="77"/>
      <c r="E493" s="77"/>
      <c r="F493" s="92"/>
      <c r="G493" s="77"/>
      <c r="K493" s="93"/>
      <c r="L493" s="94"/>
      <c r="M493" s="94"/>
      <c r="P493" s="92"/>
      <c r="Q493" s="77"/>
      <c r="R493" s="77"/>
    </row>
    <row r="494" spans="2:18" ht="15.75" customHeight="1">
      <c r="B494" s="91"/>
      <c r="D494" s="77"/>
      <c r="E494" s="77"/>
      <c r="F494" s="92"/>
      <c r="G494" s="77"/>
      <c r="K494" s="93"/>
      <c r="L494" s="94"/>
      <c r="M494" s="94"/>
      <c r="P494" s="92"/>
      <c r="Q494" s="77"/>
      <c r="R494" s="77"/>
    </row>
    <row r="495" spans="2:18" ht="15.75" customHeight="1">
      <c r="B495" s="91"/>
      <c r="D495" s="77"/>
      <c r="E495" s="77"/>
      <c r="F495" s="92"/>
      <c r="G495" s="77"/>
      <c r="K495" s="93"/>
      <c r="L495" s="94"/>
      <c r="M495" s="94"/>
      <c r="P495" s="92"/>
      <c r="Q495" s="77"/>
      <c r="R495" s="77"/>
    </row>
    <row r="496" spans="2:18" ht="15.75" customHeight="1">
      <c r="B496" s="91"/>
      <c r="D496" s="77"/>
      <c r="E496" s="77"/>
      <c r="F496" s="92"/>
      <c r="G496" s="77"/>
      <c r="K496" s="93"/>
      <c r="L496" s="94"/>
      <c r="M496" s="94"/>
      <c r="P496" s="92"/>
      <c r="Q496" s="77"/>
      <c r="R496" s="77"/>
    </row>
    <row r="497" spans="2:18" ht="15.75" customHeight="1">
      <c r="B497" s="91"/>
      <c r="D497" s="77"/>
      <c r="E497" s="77"/>
      <c r="F497" s="92"/>
      <c r="G497" s="77"/>
      <c r="K497" s="93"/>
      <c r="L497" s="94"/>
      <c r="M497" s="94"/>
      <c r="P497" s="92"/>
      <c r="Q497" s="77"/>
      <c r="R497" s="77"/>
    </row>
    <row r="498" spans="2:18" ht="15.75" customHeight="1">
      <c r="B498" s="91"/>
      <c r="D498" s="77"/>
      <c r="E498" s="77"/>
      <c r="F498" s="92"/>
      <c r="G498" s="77"/>
      <c r="K498" s="93"/>
      <c r="L498" s="94"/>
      <c r="M498" s="94"/>
      <c r="P498" s="92"/>
      <c r="Q498" s="77"/>
      <c r="R498" s="77"/>
    </row>
    <row r="499" spans="2:18" ht="15.75" customHeight="1">
      <c r="B499" s="91"/>
      <c r="D499" s="77"/>
      <c r="E499" s="77"/>
      <c r="F499" s="92"/>
      <c r="G499" s="77"/>
      <c r="K499" s="93"/>
      <c r="L499" s="94"/>
      <c r="M499" s="94"/>
      <c r="P499" s="92"/>
      <c r="Q499" s="77"/>
      <c r="R499" s="77"/>
    </row>
    <row r="500" spans="2:18" ht="15.75" customHeight="1">
      <c r="B500" s="91"/>
      <c r="D500" s="77"/>
      <c r="E500" s="77"/>
      <c r="F500" s="92"/>
      <c r="G500" s="77"/>
      <c r="K500" s="93"/>
      <c r="L500" s="94"/>
      <c r="M500" s="94"/>
      <c r="P500" s="92"/>
      <c r="Q500" s="77"/>
      <c r="R500" s="77"/>
    </row>
    <row r="501" spans="2:18" ht="15.75" customHeight="1">
      <c r="B501" s="91"/>
      <c r="D501" s="77"/>
      <c r="E501" s="77"/>
      <c r="F501" s="92"/>
      <c r="G501" s="77"/>
      <c r="K501" s="93"/>
      <c r="L501" s="94"/>
      <c r="M501" s="94"/>
      <c r="P501" s="92"/>
      <c r="Q501" s="77"/>
      <c r="R501" s="77"/>
    </row>
    <row r="502" spans="2:18" ht="15.75" customHeight="1">
      <c r="B502" s="91"/>
      <c r="D502" s="77"/>
      <c r="E502" s="77"/>
      <c r="F502" s="92"/>
      <c r="G502" s="77"/>
      <c r="K502" s="93"/>
      <c r="L502" s="94"/>
      <c r="M502" s="94"/>
      <c r="P502" s="92"/>
      <c r="Q502" s="77"/>
      <c r="R502" s="77"/>
    </row>
    <row r="503" spans="2:18" ht="15.75" customHeight="1">
      <c r="B503" s="91"/>
      <c r="D503" s="77"/>
      <c r="E503" s="77"/>
      <c r="F503" s="92"/>
      <c r="G503" s="77"/>
      <c r="K503" s="93"/>
      <c r="L503" s="94"/>
      <c r="M503" s="94"/>
      <c r="P503" s="92"/>
      <c r="Q503" s="77"/>
      <c r="R503" s="77"/>
    </row>
    <row r="504" spans="2:18" ht="15.75" customHeight="1">
      <c r="B504" s="91"/>
      <c r="D504" s="77"/>
      <c r="E504" s="77"/>
      <c r="F504" s="92"/>
      <c r="G504" s="77"/>
      <c r="K504" s="93"/>
      <c r="L504" s="94"/>
      <c r="M504" s="94"/>
      <c r="P504" s="92"/>
      <c r="Q504" s="77"/>
      <c r="R504" s="77"/>
    </row>
    <row r="505" spans="2:18" ht="15.75" customHeight="1">
      <c r="B505" s="91"/>
      <c r="D505" s="77"/>
      <c r="E505" s="77"/>
      <c r="F505" s="92"/>
      <c r="G505" s="77"/>
      <c r="K505" s="93"/>
      <c r="L505" s="94"/>
      <c r="M505" s="94"/>
      <c r="P505" s="92"/>
      <c r="Q505" s="77"/>
      <c r="R505" s="77"/>
    </row>
    <row r="506" spans="2:18" ht="15.75" customHeight="1">
      <c r="B506" s="91"/>
      <c r="D506" s="77"/>
      <c r="E506" s="77"/>
      <c r="F506" s="92"/>
      <c r="G506" s="77"/>
      <c r="K506" s="93"/>
      <c r="L506" s="94"/>
      <c r="M506" s="94"/>
      <c r="P506" s="92"/>
      <c r="Q506" s="77"/>
      <c r="R506" s="77"/>
    </row>
    <row r="507" spans="2:18" ht="15.75" customHeight="1">
      <c r="B507" s="91"/>
      <c r="D507" s="77"/>
      <c r="E507" s="77"/>
      <c r="F507" s="92"/>
      <c r="G507" s="77"/>
      <c r="K507" s="93"/>
      <c r="L507" s="94"/>
      <c r="M507" s="94"/>
      <c r="P507" s="92"/>
      <c r="Q507" s="77"/>
      <c r="R507" s="77"/>
    </row>
    <row r="508" spans="2:18" ht="15.75" customHeight="1">
      <c r="B508" s="91"/>
      <c r="D508" s="77"/>
      <c r="E508" s="77"/>
      <c r="F508" s="92"/>
      <c r="G508" s="77"/>
      <c r="K508" s="93"/>
      <c r="L508" s="94"/>
      <c r="M508" s="94"/>
      <c r="P508" s="92"/>
      <c r="Q508" s="77"/>
      <c r="R508" s="77"/>
    </row>
    <row r="509" spans="2:18" ht="15.75" customHeight="1">
      <c r="B509" s="91"/>
      <c r="D509" s="77"/>
      <c r="E509" s="77"/>
      <c r="F509" s="92"/>
      <c r="G509" s="77"/>
      <c r="K509" s="93"/>
      <c r="L509" s="94"/>
      <c r="M509" s="94"/>
      <c r="P509" s="92"/>
      <c r="Q509" s="77"/>
      <c r="R509" s="77"/>
    </row>
    <row r="510" spans="2:18" ht="15.75" customHeight="1">
      <c r="B510" s="91"/>
      <c r="D510" s="77"/>
      <c r="E510" s="77"/>
      <c r="F510" s="92"/>
      <c r="G510" s="77"/>
      <c r="K510" s="93"/>
      <c r="L510" s="94"/>
      <c r="M510" s="94"/>
      <c r="P510" s="92"/>
      <c r="Q510" s="77"/>
      <c r="R510" s="77"/>
    </row>
    <row r="511" spans="2:18" ht="15.75" customHeight="1">
      <c r="B511" s="91"/>
      <c r="D511" s="77"/>
      <c r="E511" s="77"/>
      <c r="F511" s="92"/>
      <c r="G511" s="77"/>
      <c r="K511" s="93"/>
      <c r="L511" s="94"/>
      <c r="M511" s="94"/>
      <c r="P511" s="92"/>
      <c r="Q511" s="77"/>
      <c r="R511" s="77"/>
    </row>
    <row r="512" spans="2:18" ht="15.75" customHeight="1">
      <c r="B512" s="91"/>
      <c r="D512" s="77"/>
      <c r="E512" s="77"/>
      <c r="F512" s="92"/>
      <c r="G512" s="77"/>
      <c r="K512" s="93"/>
      <c r="L512" s="94"/>
      <c r="M512" s="94"/>
      <c r="P512" s="92"/>
      <c r="Q512" s="77"/>
      <c r="R512" s="77"/>
    </row>
    <row r="513" spans="2:18" ht="15.75" customHeight="1">
      <c r="B513" s="91"/>
      <c r="D513" s="77"/>
      <c r="E513" s="77"/>
      <c r="F513" s="92"/>
      <c r="G513" s="77"/>
      <c r="K513" s="93"/>
      <c r="L513" s="94"/>
      <c r="M513" s="94"/>
      <c r="P513" s="92"/>
      <c r="Q513" s="77"/>
      <c r="R513" s="77"/>
    </row>
    <row r="514" spans="2:18" ht="15.75" customHeight="1">
      <c r="B514" s="91"/>
      <c r="D514" s="77"/>
      <c r="E514" s="77"/>
      <c r="F514" s="92"/>
      <c r="G514" s="77"/>
      <c r="K514" s="93"/>
      <c r="L514" s="94"/>
      <c r="M514" s="94"/>
      <c r="P514" s="92"/>
      <c r="Q514" s="77"/>
      <c r="R514" s="77"/>
    </row>
    <row r="515" spans="2:18" ht="15.75" customHeight="1">
      <c r="B515" s="91"/>
      <c r="D515" s="77"/>
      <c r="E515" s="77"/>
      <c r="F515" s="92"/>
      <c r="G515" s="77"/>
      <c r="K515" s="93"/>
      <c r="L515" s="94"/>
      <c r="M515" s="94"/>
      <c r="P515" s="92"/>
      <c r="Q515" s="77"/>
      <c r="R515" s="77"/>
    </row>
    <row r="516" spans="2:18" ht="15.75" customHeight="1">
      <c r="B516" s="91"/>
      <c r="D516" s="77"/>
      <c r="E516" s="77"/>
      <c r="F516" s="92"/>
      <c r="G516" s="77"/>
      <c r="K516" s="93"/>
      <c r="L516" s="94"/>
      <c r="M516" s="94"/>
      <c r="P516" s="92"/>
      <c r="Q516" s="77"/>
      <c r="R516" s="77"/>
    </row>
    <row r="517" spans="2:18" ht="15.75" customHeight="1">
      <c r="B517" s="91"/>
      <c r="D517" s="77"/>
      <c r="E517" s="77"/>
      <c r="F517" s="92"/>
      <c r="G517" s="77"/>
      <c r="K517" s="93"/>
      <c r="L517" s="94"/>
      <c r="M517" s="94"/>
      <c r="P517" s="92"/>
      <c r="Q517" s="77"/>
      <c r="R517" s="77"/>
    </row>
    <row r="518" spans="2:18" ht="15.75" customHeight="1">
      <c r="B518" s="91"/>
      <c r="D518" s="77"/>
      <c r="E518" s="77"/>
      <c r="F518" s="92"/>
      <c r="G518" s="77"/>
      <c r="K518" s="93"/>
      <c r="L518" s="94"/>
      <c r="M518" s="94"/>
      <c r="P518" s="92"/>
      <c r="Q518" s="77"/>
      <c r="R518" s="77"/>
    </row>
    <row r="519" spans="2:18" ht="15.75" customHeight="1">
      <c r="B519" s="91"/>
      <c r="D519" s="77"/>
      <c r="E519" s="77"/>
      <c r="F519" s="92"/>
      <c r="G519" s="77"/>
      <c r="K519" s="93"/>
      <c r="L519" s="94"/>
      <c r="M519" s="94"/>
      <c r="P519" s="92"/>
      <c r="Q519" s="77"/>
      <c r="R519" s="77"/>
    </row>
    <row r="520" spans="2:18" ht="15.75" customHeight="1">
      <c r="B520" s="91"/>
      <c r="D520" s="77"/>
      <c r="E520" s="77"/>
      <c r="F520" s="92"/>
      <c r="G520" s="77"/>
      <c r="K520" s="93"/>
      <c r="L520" s="94"/>
      <c r="M520" s="94"/>
      <c r="P520" s="92"/>
      <c r="Q520" s="77"/>
      <c r="R520" s="77"/>
    </row>
    <row r="521" spans="2:18" ht="15.75" customHeight="1">
      <c r="B521" s="91"/>
      <c r="D521" s="77"/>
      <c r="E521" s="77"/>
      <c r="F521" s="92"/>
      <c r="G521" s="77"/>
      <c r="K521" s="93"/>
      <c r="L521" s="94"/>
      <c r="M521" s="94"/>
      <c r="P521" s="92"/>
      <c r="Q521" s="77"/>
      <c r="R521" s="77"/>
    </row>
    <row r="522" spans="2:18" ht="15.75" customHeight="1">
      <c r="B522" s="91"/>
      <c r="D522" s="77"/>
      <c r="E522" s="77"/>
      <c r="F522" s="92"/>
      <c r="G522" s="77"/>
      <c r="K522" s="93"/>
      <c r="L522" s="94"/>
      <c r="M522" s="94"/>
      <c r="P522" s="92"/>
      <c r="Q522" s="77"/>
      <c r="R522" s="77"/>
    </row>
    <row r="523" spans="2:18" ht="15.75" customHeight="1">
      <c r="B523" s="91"/>
      <c r="D523" s="77"/>
      <c r="E523" s="77"/>
      <c r="F523" s="92"/>
      <c r="G523" s="77"/>
      <c r="K523" s="93"/>
      <c r="L523" s="94"/>
      <c r="M523" s="94"/>
      <c r="P523" s="92"/>
      <c r="Q523" s="77"/>
      <c r="R523" s="77"/>
    </row>
    <row r="524" spans="2:18" ht="15.75" customHeight="1">
      <c r="B524" s="91"/>
      <c r="D524" s="77"/>
      <c r="E524" s="77"/>
      <c r="F524" s="92"/>
      <c r="G524" s="77"/>
      <c r="K524" s="93"/>
      <c r="L524" s="94"/>
      <c r="M524" s="94"/>
      <c r="P524" s="92"/>
      <c r="Q524" s="77"/>
      <c r="R524" s="77"/>
    </row>
    <row r="525" spans="2:18" ht="15.75" customHeight="1">
      <c r="B525" s="91"/>
      <c r="D525" s="77"/>
      <c r="E525" s="77"/>
      <c r="F525" s="92"/>
      <c r="G525" s="77"/>
      <c r="K525" s="93"/>
      <c r="L525" s="94"/>
      <c r="M525" s="94"/>
      <c r="P525" s="92"/>
      <c r="Q525" s="77"/>
      <c r="R525" s="77"/>
    </row>
    <row r="526" spans="2:18" ht="15.75" customHeight="1">
      <c r="B526" s="91"/>
      <c r="D526" s="77"/>
      <c r="E526" s="77"/>
      <c r="F526" s="92"/>
      <c r="G526" s="77"/>
      <c r="K526" s="93"/>
      <c r="L526" s="94"/>
      <c r="M526" s="94"/>
      <c r="P526" s="92"/>
      <c r="Q526" s="77"/>
      <c r="R526" s="77"/>
    </row>
    <row r="527" spans="2:18" ht="15.75" customHeight="1">
      <c r="B527" s="91"/>
      <c r="D527" s="77"/>
      <c r="E527" s="77"/>
      <c r="F527" s="92"/>
      <c r="G527" s="77"/>
      <c r="K527" s="93"/>
      <c r="L527" s="94"/>
      <c r="M527" s="94"/>
      <c r="P527" s="92"/>
      <c r="Q527" s="77"/>
      <c r="R527" s="77"/>
    </row>
    <row r="528" spans="2:18" ht="15.75" customHeight="1">
      <c r="B528" s="91"/>
      <c r="D528" s="77"/>
      <c r="E528" s="77"/>
      <c r="F528" s="92"/>
      <c r="G528" s="77"/>
      <c r="K528" s="93"/>
      <c r="L528" s="94"/>
      <c r="M528" s="94"/>
      <c r="P528" s="92"/>
      <c r="Q528" s="77"/>
      <c r="R528" s="77"/>
    </row>
    <row r="529" spans="2:18" ht="15.75" customHeight="1">
      <c r="B529" s="91"/>
      <c r="D529" s="77"/>
      <c r="E529" s="77"/>
      <c r="F529" s="92"/>
      <c r="G529" s="77"/>
      <c r="K529" s="93"/>
      <c r="L529" s="94"/>
      <c r="M529" s="94"/>
      <c r="P529" s="92"/>
      <c r="Q529" s="77"/>
      <c r="R529" s="77"/>
    </row>
    <row r="530" spans="2:18" ht="15.75" customHeight="1">
      <c r="B530" s="91"/>
      <c r="D530" s="77"/>
      <c r="E530" s="77"/>
      <c r="F530" s="92"/>
      <c r="G530" s="77"/>
      <c r="K530" s="93"/>
      <c r="L530" s="94"/>
      <c r="M530" s="94"/>
      <c r="P530" s="92"/>
      <c r="Q530" s="77"/>
      <c r="R530" s="77"/>
    </row>
    <row r="531" spans="2:18" ht="15.75" customHeight="1">
      <c r="B531" s="91"/>
      <c r="D531" s="77"/>
      <c r="E531" s="77"/>
      <c r="F531" s="92"/>
      <c r="G531" s="77"/>
      <c r="K531" s="93"/>
      <c r="L531" s="94"/>
      <c r="M531" s="94"/>
      <c r="P531" s="92"/>
      <c r="Q531" s="77"/>
      <c r="R531" s="77"/>
    </row>
    <row r="532" spans="2:18" ht="15.75" customHeight="1">
      <c r="B532" s="91"/>
      <c r="D532" s="77"/>
      <c r="E532" s="77"/>
      <c r="F532" s="92"/>
      <c r="G532" s="77"/>
      <c r="K532" s="93"/>
      <c r="L532" s="94"/>
      <c r="M532" s="94"/>
      <c r="P532" s="92"/>
      <c r="Q532" s="77"/>
      <c r="R532" s="77"/>
    </row>
    <row r="533" spans="2:18" ht="15.75" customHeight="1">
      <c r="B533" s="91"/>
      <c r="D533" s="77"/>
      <c r="E533" s="77"/>
      <c r="F533" s="92"/>
      <c r="G533" s="77"/>
      <c r="K533" s="93"/>
      <c r="L533" s="94"/>
      <c r="M533" s="94"/>
      <c r="P533" s="92"/>
      <c r="Q533" s="77"/>
      <c r="R533" s="77"/>
    </row>
    <row r="534" spans="2:18" ht="15.75" customHeight="1">
      <c r="B534" s="91"/>
      <c r="D534" s="77"/>
      <c r="E534" s="77"/>
      <c r="F534" s="92"/>
      <c r="G534" s="77"/>
      <c r="K534" s="93"/>
      <c r="L534" s="94"/>
      <c r="M534" s="94"/>
      <c r="P534" s="92"/>
      <c r="Q534" s="77"/>
      <c r="R534" s="77"/>
    </row>
    <row r="535" spans="2:18" ht="15.75" customHeight="1">
      <c r="B535" s="91"/>
      <c r="D535" s="77"/>
      <c r="E535" s="77"/>
      <c r="F535" s="92"/>
      <c r="G535" s="77"/>
      <c r="K535" s="93"/>
      <c r="L535" s="94"/>
      <c r="M535" s="94"/>
      <c r="P535" s="92"/>
      <c r="Q535" s="77"/>
      <c r="R535" s="77"/>
    </row>
    <row r="536" spans="2:18" ht="15.75" customHeight="1">
      <c r="B536" s="91"/>
      <c r="D536" s="77"/>
      <c r="E536" s="77"/>
      <c r="F536" s="92"/>
      <c r="G536" s="77"/>
      <c r="K536" s="93"/>
      <c r="L536" s="94"/>
      <c r="M536" s="94"/>
      <c r="P536" s="92"/>
      <c r="Q536" s="77"/>
      <c r="R536" s="77"/>
    </row>
    <row r="537" spans="2:18" ht="15.75" customHeight="1">
      <c r="B537" s="91"/>
      <c r="D537" s="77"/>
      <c r="E537" s="77"/>
      <c r="F537" s="92"/>
      <c r="G537" s="77"/>
      <c r="K537" s="93"/>
      <c r="L537" s="94"/>
      <c r="M537" s="94"/>
      <c r="P537" s="92"/>
      <c r="Q537" s="77"/>
      <c r="R537" s="77"/>
    </row>
    <row r="538" spans="2:18" ht="15.75" customHeight="1">
      <c r="B538" s="91"/>
      <c r="D538" s="77"/>
      <c r="E538" s="77"/>
      <c r="F538" s="92"/>
      <c r="G538" s="77"/>
      <c r="K538" s="93"/>
      <c r="L538" s="94"/>
      <c r="M538" s="94"/>
      <c r="P538" s="92"/>
      <c r="Q538" s="77"/>
      <c r="R538" s="77"/>
    </row>
    <row r="539" spans="2:18" ht="15.75" customHeight="1">
      <c r="B539" s="91"/>
      <c r="D539" s="77"/>
      <c r="E539" s="77"/>
      <c r="F539" s="92"/>
      <c r="G539" s="77"/>
      <c r="K539" s="93"/>
      <c r="L539" s="94"/>
      <c r="M539" s="94"/>
      <c r="P539" s="92"/>
      <c r="Q539" s="77"/>
      <c r="R539" s="77"/>
    </row>
    <row r="540" spans="2:18" ht="15.75" customHeight="1">
      <c r="B540" s="91"/>
      <c r="D540" s="77"/>
      <c r="E540" s="77"/>
      <c r="F540" s="92"/>
      <c r="G540" s="77"/>
      <c r="K540" s="93"/>
      <c r="L540" s="94"/>
      <c r="M540" s="94"/>
      <c r="P540" s="92"/>
      <c r="Q540" s="77"/>
      <c r="R540" s="77"/>
    </row>
    <row r="541" spans="2:18" ht="15.75" customHeight="1">
      <c r="B541" s="91"/>
      <c r="D541" s="77"/>
      <c r="E541" s="77"/>
      <c r="F541" s="92"/>
      <c r="G541" s="77"/>
      <c r="K541" s="93"/>
      <c r="L541" s="94"/>
      <c r="M541" s="94"/>
      <c r="P541" s="92"/>
      <c r="Q541" s="77"/>
      <c r="R541" s="77"/>
    </row>
    <row r="542" spans="2:18" ht="15.75" customHeight="1">
      <c r="B542" s="91"/>
      <c r="D542" s="77"/>
      <c r="E542" s="77"/>
      <c r="F542" s="92"/>
      <c r="G542" s="77"/>
      <c r="K542" s="93"/>
      <c r="L542" s="94"/>
      <c r="M542" s="94"/>
      <c r="P542" s="92"/>
      <c r="Q542" s="77"/>
      <c r="R542" s="77"/>
    </row>
    <row r="543" spans="2:18" ht="15.75" customHeight="1">
      <c r="B543" s="91"/>
      <c r="D543" s="77"/>
      <c r="E543" s="77"/>
      <c r="F543" s="92"/>
      <c r="G543" s="77"/>
      <c r="K543" s="93"/>
      <c r="L543" s="94"/>
      <c r="M543" s="94"/>
      <c r="P543" s="92"/>
      <c r="Q543" s="77"/>
      <c r="R543" s="77"/>
    </row>
    <row r="544" spans="2:18" ht="15.75" customHeight="1">
      <c r="B544" s="91"/>
      <c r="D544" s="77"/>
      <c r="E544" s="77"/>
      <c r="F544" s="92"/>
      <c r="G544" s="77"/>
      <c r="K544" s="93"/>
      <c r="L544" s="94"/>
      <c r="M544" s="94"/>
      <c r="P544" s="92"/>
      <c r="Q544" s="77"/>
      <c r="R544" s="77"/>
    </row>
    <row r="545" spans="2:18" ht="15.75" customHeight="1">
      <c r="B545" s="91"/>
      <c r="D545" s="77"/>
      <c r="E545" s="77"/>
      <c r="F545" s="92"/>
      <c r="G545" s="77"/>
      <c r="K545" s="93"/>
      <c r="L545" s="94"/>
      <c r="M545" s="94"/>
      <c r="P545" s="92"/>
      <c r="Q545" s="77"/>
      <c r="R545" s="77"/>
    </row>
    <row r="546" spans="2:18" ht="15.75" customHeight="1">
      <c r="B546" s="91"/>
      <c r="D546" s="77"/>
      <c r="E546" s="77"/>
      <c r="F546" s="92"/>
      <c r="G546" s="77"/>
      <c r="K546" s="93"/>
      <c r="L546" s="94"/>
      <c r="M546" s="94"/>
      <c r="P546" s="92"/>
      <c r="Q546" s="77"/>
      <c r="R546" s="77"/>
    </row>
    <row r="547" spans="2:18" ht="15.75" customHeight="1">
      <c r="B547" s="91"/>
      <c r="D547" s="77"/>
      <c r="E547" s="77"/>
      <c r="F547" s="92"/>
      <c r="G547" s="77"/>
      <c r="K547" s="93"/>
      <c r="L547" s="94"/>
      <c r="M547" s="94"/>
      <c r="P547" s="92"/>
      <c r="Q547" s="77"/>
      <c r="R547" s="77"/>
    </row>
    <row r="548" spans="2:18" ht="15.75" customHeight="1">
      <c r="B548" s="91"/>
      <c r="D548" s="77"/>
      <c r="E548" s="77"/>
      <c r="F548" s="92"/>
      <c r="G548" s="77"/>
      <c r="K548" s="93"/>
      <c r="L548" s="94"/>
      <c r="M548" s="94"/>
      <c r="P548" s="92"/>
      <c r="Q548" s="77"/>
      <c r="R548" s="77"/>
    </row>
    <row r="549" spans="2:18" ht="15.75" customHeight="1">
      <c r="B549" s="91"/>
      <c r="D549" s="77"/>
      <c r="E549" s="77"/>
      <c r="F549" s="92"/>
      <c r="G549" s="77"/>
      <c r="K549" s="93"/>
      <c r="L549" s="94"/>
      <c r="M549" s="94"/>
      <c r="P549" s="92"/>
      <c r="Q549" s="77"/>
      <c r="R549" s="77"/>
    </row>
    <row r="550" spans="2:18" ht="15.75" customHeight="1">
      <c r="B550" s="91"/>
      <c r="D550" s="77"/>
      <c r="E550" s="77"/>
      <c r="F550" s="92"/>
      <c r="G550" s="77"/>
      <c r="K550" s="93"/>
      <c r="L550" s="94"/>
      <c r="M550" s="94"/>
      <c r="P550" s="92"/>
      <c r="Q550" s="77"/>
      <c r="R550" s="77"/>
    </row>
    <row r="551" spans="2:18" ht="15.75" customHeight="1">
      <c r="B551" s="91"/>
      <c r="D551" s="77"/>
      <c r="E551" s="77"/>
      <c r="F551" s="92"/>
      <c r="G551" s="77"/>
      <c r="K551" s="93"/>
      <c r="L551" s="94"/>
      <c r="M551" s="94"/>
      <c r="P551" s="92"/>
      <c r="Q551" s="77"/>
      <c r="R551" s="77"/>
    </row>
    <row r="552" spans="2:18" ht="15.75" customHeight="1">
      <c r="B552" s="91"/>
      <c r="D552" s="77"/>
      <c r="E552" s="77"/>
      <c r="F552" s="92"/>
      <c r="G552" s="77"/>
      <c r="K552" s="93"/>
      <c r="L552" s="94"/>
      <c r="M552" s="94"/>
      <c r="P552" s="92"/>
      <c r="Q552" s="77"/>
      <c r="R552" s="77"/>
    </row>
    <row r="553" spans="2:18" ht="15.75" customHeight="1">
      <c r="B553" s="91"/>
      <c r="D553" s="77"/>
      <c r="E553" s="77"/>
      <c r="F553" s="92"/>
      <c r="G553" s="77"/>
      <c r="K553" s="93"/>
      <c r="L553" s="94"/>
      <c r="M553" s="94"/>
      <c r="P553" s="92"/>
      <c r="Q553" s="77"/>
      <c r="R553" s="77"/>
    </row>
    <row r="554" spans="2:18" ht="15.75" customHeight="1">
      <c r="B554" s="91"/>
      <c r="D554" s="77"/>
      <c r="E554" s="77"/>
      <c r="F554" s="92"/>
      <c r="G554" s="77"/>
      <c r="K554" s="93"/>
      <c r="L554" s="94"/>
      <c r="M554" s="94"/>
      <c r="P554" s="92"/>
      <c r="Q554" s="77"/>
      <c r="R554" s="77"/>
    </row>
    <row r="555" spans="2:18" ht="15.75" customHeight="1">
      <c r="B555" s="91"/>
      <c r="D555" s="77"/>
      <c r="E555" s="77"/>
      <c r="F555" s="92"/>
      <c r="G555" s="77"/>
      <c r="K555" s="93"/>
      <c r="L555" s="94"/>
      <c r="M555" s="94"/>
      <c r="P555" s="92"/>
      <c r="Q555" s="77"/>
      <c r="R555" s="77"/>
    </row>
    <row r="556" spans="2:18" ht="15.75" customHeight="1">
      <c r="B556" s="91"/>
      <c r="D556" s="77"/>
      <c r="E556" s="77"/>
      <c r="F556" s="92"/>
      <c r="G556" s="77"/>
      <c r="K556" s="93"/>
      <c r="L556" s="94"/>
      <c r="M556" s="94"/>
      <c r="P556" s="92"/>
      <c r="Q556" s="77"/>
      <c r="R556" s="77"/>
    </row>
    <row r="557" spans="2:18" ht="15.75" customHeight="1">
      <c r="B557" s="91"/>
      <c r="D557" s="77"/>
      <c r="E557" s="77"/>
      <c r="F557" s="92"/>
      <c r="G557" s="77"/>
      <c r="K557" s="93"/>
      <c r="L557" s="94"/>
      <c r="M557" s="94"/>
      <c r="P557" s="92"/>
      <c r="Q557" s="77"/>
      <c r="R557" s="77"/>
    </row>
    <row r="558" spans="2:18" ht="15.75" customHeight="1">
      <c r="B558" s="91"/>
      <c r="D558" s="77"/>
      <c r="E558" s="77"/>
      <c r="F558" s="92"/>
      <c r="G558" s="77"/>
      <c r="K558" s="93"/>
      <c r="L558" s="94"/>
      <c r="M558" s="94"/>
      <c r="P558" s="92"/>
      <c r="Q558" s="77"/>
      <c r="R558" s="77"/>
    </row>
    <row r="559" spans="2:18" ht="15.75" customHeight="1">
      <c r="B559" s="91"/>
      <c r="D559" s="77"/>
      <c r="E559" s="77"/>
      <c r="F559" s="92"/>
      <c r="G559" s="77"/>
      <c r="K559" s="93"/>
      <c r="L559" s="94"/>
      <c r="M559" s="94"/>
      <c r="P559" s="92"/>
      <c r="Q559" s="77"/>
      <c r="R559" s="77"/>
    </row>
    <row r="560" spans="2:18" ht="15.75" customHeight="1">
      <c r="B560" s="91"/>
      <c r="D560" s="77"/>
      <c r="E560" s="77"/>
      <c r="F560" s="92"/>
      <c r="G560" s="77"/>
      <c r="K560" s="93"/>
      <c r="L560" s="94"/>
      <c r="M560" s="94"/>
      <c r="P560" s="92"/>
      <c r="Q560" s="77"/>
      <c r="R560" s="77"/>
    </row>
    <row r="561" spans="2:18" ht="15.75" customHeight="1">
      <c r="B561" s="91"/>
      <c r="D561" s="77"/>
      <c r="E561" s="77"/>
      <c r="F561" s="92"/>
      <c r="G561" s="77"/>
      <c r="K561" s="93"/>
      <c r="L561" s="94"/>
      <c r="M561" s="94"/>
      <c r="P561" s="92"/>
      <c r="Q561" s="77"/>
      <c r="R561" s="77"/>
    </row>
    <row r="562" spans="2:18" ht="15.75" customHeight="1">
      <c r="B562" s="91"/>
      <c r="D562" s="77"/>
      <c r="E562" s="77"/>
      <c r="F562" s="92"/>
      <c r="G562" s="77"/>
      <c r="K562" s="93"/>
      <c r="L562" s="94"/>
      <c r="M562" s="94"/>
      <c r="P562" s="92"/>
      <c r="Q562" s="77"/>
      <c r="R562" s="77"/>
    </row>
    <row r="563" spans="2:18" ht="15.75" customHeight="1">
      <c r="B563" s="91"/>
      <c r="D563" s="77"/>
      <c r="E563" s="77"/>
      <c r="F563" s="92"/>
      <c r="G563" s="77"/>
      <c r="K563" s="93"/>
      <c r="L563" s="94"/>
      <c r="M563" s="94"/>
      <c r="P563" s="92"/>
      <c r="Q563" s="77"/>
      <c r="R563" s="77"/>
    </row>
    <row r="564" spans="2:18" ht="15.75" customHeight="1">
      <c r="B564" s="91"/>
      <c r="D564" s="77"/>
      <c r="E564" s="77"/>
      <c r="F564" s="92"/>
      <c r="G564" s="77"/>
      <c r="K564" s="93"/>
      <c r="L564" s="94"/>
      <c r="M564" s="94"/>
      <c r="P564" s="92"/>
      <c r="Q564" s="77"/>
      <c r="R564" s="77"/>
    </row>
    <row r="565" spans="2:18" ht="15.75" customHeight="1">
      <c r="B565" s="91"/>
      <c r="D565" s="77"/>
      <c r="E565" s="77"/>
      <c r="F565" s="92"/>
      <c r="G565" s="77"/>
      <c r="K565" s="93"/>
      <c r="L565" s="94"/>
      <c r="M565" s="94"/>
      <c r="P565" s="92"/>
      <c r="Q565" s="77"/>
      <c r="R565" s="77"/>
    </row>
    <row r="566" spans="2:18" ht="15.75" customHeight="1">
      <c r="B566" s="91"/>
      <c r="D566" s="77"/>
      <c r="E566" s="77"/>
      <c r="F566" s="92"/>
      <c r="G566" s="77"/>
      <c r="K566" s="93"/>
      <c r="L566" s="94"/>
      <c r="M566" s="94"/>
      <c r="P566" s="92"/>
      <c r="Q566" s="77"/>
      <c r="R566" s="77"/>
    </row>
    <row r="567" spans="2:18" ht="15.75" customHeight="1">
      <c r="B567" s="91"/>
      <c r="D567" s="77"/>
      <c r="E567" s="77"/>
      <c r="F567" s="92"/>
      <c r="G567" s="77"/>
      <c r="K567" s="93"/>
      <c r="L567" s="94"/>
      <c r="M567" s="94"/>
      <c r="P567" s="92"/>
      <c r="Q567" s="77"/>
      <c r="R567" s="77"/>
    </row>
    <row r="568" spans="2:18" ht="15.75" customHeight="1">
      <c r="B568" s="91"/>
      <c r="D568" s="77"/>
      <c r="E568" s="77"/>
      <c r="F568" s="92"/>
      <c r="G568" s="77"/>
      <c r="K568" s="93"/>
      <c r="L568" s="94"/>
      <c r="M568" s="94"/>
      <c r="P568" s="92"/>
      <c r="Q568" s="77"/>
      <c r="R568" s="77"/>
    </row>
    <row r="569" spans="2:18" ht="15.75" customHeight="1">
      <c r="B569" s="91"/>
      <c r="D569" s="77"/>
      <c r="E569" s="77"/>
      <c r="F569" s="92"/>
      <c r="G569" s="77"/>
      <c r="K569" s="93"/>
      <c r="L569" s="94"/>
      <c r="M569" s="94"/>
      <c r="P569" s="92"/>
      <c r="Q569" s="77"/>
      <c r="R569" s="77"/>
    </row>
    <row r="570" spans="2:18" ht="15.75" customHeight="1">
      <c r="B570" s="91"/>
      <c r="D570" s="77"/>
      <c r="E570" s="77"/>
      <c r="F570" s="92"/>
      <c r="G570" s="77"/>
      <c r="K570" s="93"/>
      <c r="L570" s="94"/>
      <c r="M570" s="94"/>
      <c r="P570" s="92"/>
      <c r="Q570" s="77"/>
      <c r="R570" s="77"/>
    </row>
    <row r="571" spans="2:18" ht="15.75" customHeight="1">
      <c r="B571" s="91"/>
      <c r="D571" s="77"/>
      <c r="E571" s="77"/>
      <c r="F571" s="92"/>
      <c r="G571" s="77"/>
      <c r="K571" s="93"/>
      <c r="L571" s="94"/>
      <c r="M571" s="94"/>
      <c r="P571" s="92"/>
      <c r="Q571" s="77"/>
      <c r="R571" s="77"/>
    </row>
    <row r="572" spans="2:18" ht="15.75" customHeight="1">
      <c r="B572" s="91"/>
      <c r="D572" s="77"/>
      <c r="E572" s="77"/>
      <c r="F572" s="92"/>
      <c r="G572" s="77"/>
      <c r="K572" s="93"/>
      <c r="L572" s="94"/>
      <c r="M572" s="94"/>
      <c r="P572" s="92"/>
      <c r="Q572" s="77"/>
      <c r="R572" s="77"/>
    </row>
    <row r="573" spans="2:18" ht="15.75" customHeight="1">
      <c r="B573" s="91"/>
      <c r="D573" s="77"/>
      <c r="E573" s="77"/>
      <c r="F573" s="92"/>
      <c r="G573" s="77"/>
      <c r="K573" s="93"/>
      <c r="L573" s="94"/>
      <c r="M573" s="94"/>
      <c r="P573" s="92"/>
      <c r="Q573" s="77"/>
      <c r="R573" s="77"/>
    </row>
  </sheetData>
  <mergeCells count="17">
    <mergeCell ref="I1:L1"/>
    <mergeCell ref="N1:Q1"/>
    <mergeCell ref="S1:V1"/>
    <mergeCell ref="X1:AA1"/>
    <mergeCell ref="AC1:AG1"/>
    <mergeCell ref="AH1:AL1"/>
    <mergeCell ref="AM1:AQ1"/>
    <mergeCell ref="AH2:AL2"/>
    <mergeCell ref="AM2:AQ2"/>
    <mergeCell ref="A1:G1"/>
    <mergeCell ref="D2:H2"/>
    <mergeCell ref="I2:M2"/>
    <mergeCell ref="N2:R2"/>
    <mergeCell ref="S2:W2"/>
    <mergeCell ref="X2:AB2"/>
    <mergeCell ref="AC2:AG2"/>
    <mergeCell ref="A139:A140"/>
  </mergeCells>
  <pageMargins left="0.7" right="0.7" top="0.75" bottom="0.75" header="0" footer="0"/>
  <pageSetup orientation="portrait"/>
  <tableParts count="161">
    <tablePart r:id="rId1"/>
    <tablePart r:id="rId2"/>
    <tablePart r:id="rId3"/>
    <tablePart r:id="rId4"/>
    <tablePart r:id="rId5"/>
    <tablePart r:id="rId6"/>
    <tablePart r:id="rId7"/>
    <tablePart r:id="rId8"/>
    <tablePart r:id="rId9"/>
    <tablePart r:id="rId10"/>
    <tablePart r:id="rId11"/>
    <tablePart r:id="rId12"/>
    <tablePart r:id="rId13"/>
    <tablePart r:id="rId14"/>
    <tablePart r:id="rId15"/>
    <tablePart r:id="rId16"/>
    <tablePart r:id="rId17"/>
    <tablePart r:id="rId18"/>
    <tablePart r:id="rId19"/>
    <tablePart r:id="rId20"/>
    <tablePart r:id="rId21"/>
    <tablePart r:id="rId22"/>
    <tablePart r:id="rId23"/>
    <tablePart r:id="rId24"/>
    <tablePart r:id="rId25"/>
    <tablePart r:id="rId26"/>
    <tablePart r:id="rId27"/>
    <tablePart r:id="rId28"/>
    <tablePart r:id="rId29"/>
    <tablePart r:id="rId30"/>
    <tablePart r:id="rId31"/>
    <tablePart r:id="rId32"/>
    <tablePart r:id="rId33"/>
    <tablePart r:id="rId34"/>
    <tablePart r:id="rId35"/>
    <tablePart r:id="rId36"/>
    <tablePart r:id="rId37"/>
    <tablePart r:id="rId38"/>
    <tablePart r:id="rId39"/>
    <tablePart r:id="rId40"/>
    <tablePart r:id="rId41"/>
    <tablePart r:id="rId42"/>
    <tablePart r:id="rId43"/>
    <tablePart r:id="rId44"/>
    <tablePart r:id="rId45"/>
    <tablePart r:id="rId46"/>
    <tablePart r:id="rId47"/>
    <tablePart r:id="rId48"/>
    <tablePart r:id="rId49"/>
    <tablePart r:id="rId50"/>
    <tablePart r:id="rId51"/>
    <tablePart r:id="rId52"/>
    <tablePart r:id="rId53"/>
    <tablePart r:id="rId54"/>
    <tablePart r:id="rId55"/>
    <tablePart r:id="rId56"/>
    <tablePart r:id="rId57"/>
    <tablePart r:id="rId58"/>
    <tablePart r:id="rId59"/>
    <tablePart r:id="rId60"/>
    <tablePart r:id="rId61"/>
    <tablePart r:id="rId62"/>
    <tablePart r:id="rId63"/>
    <tablePart r:id="rId64"/>
    <tablePart r:id="rId65"/>
    <tablePart r:id="rId66"/>
    <tablePart r:id="rId67"/>
    <tablePart r:id="rId68"/>
    <tablePart r:id="rId69"/>
    <tablePart r:id="rId70"/>
    <tablePart r:id="rId71"/>
    <tablePart r:id="rId72"/>
    <tablePart r:id="rId73"/>
    <tablePart r:id="rId74"/>
    <tablePart r:id="rId75"/>
    <tablePart r:id="rId76"/>
    <tablePart r:id="rId77"/>
    <tablePart r:id="rId78"/>
    <tablePart r:id="rId79"/>
    <tablePart r:id="rId80"/>
    <tablePart r:id="rId81"/>
    <tablePart r:id="rId82"/>
    <tablePart r:id="rId83"/>
    <tablePart r:id="rId84"/>
    <tablePart r:id="rId85"/>
    <tablePart r:id="rId86"/>
    <tablePart r:id="rId87"/>
    <tablePart r:id="rId88"/>
    <tablePart r:id="rId89"/>
    <tablePart r:id="rId90"/>
    <tablePart r:id="rId91"/>
    <tablePart r:id="rId92"/>
    <tablePart r:id="rId93"/>
    <tablePart r:id="rId94"/>
    <tablePart r:id="rId95"/>
    <tablePart r:id="rId96"/>
    <tablePart r:id="rId97"/>
    <tablePart r:id="rId98"/>
    <tablePart r:id="rId99"/>
    <tablePart r:id="rId100"/>
    <tablePart r:id="rId101"/>
    <tablePart r:id="rId102"/>
    <tablePart r:id="rId103"/>
    <tablePart r:id="rId104"/>
    <tablePart r:id="rId105"/>
    <tablePart r:id="rId106"/>
    <tablePart r:id="rId107"/>
    <tablePart r:id="rId108"/>
    <tablePart r:id="rId109"/>
    <tablePart r:id="rId110"/>
    <tablePart r:id="rId111"/>
    <tablePart r:id="rId112"/>
    <tablePart r:id="rId113"/>
    <tablePart r:id="rId114"/>
    <tablePart r:id="rId115"/>
    <tablePart r:id="rId116"/>
    <tablePart r:id="rId117"/>
    <tablePart r:id="rId118"/>
    <tablePart r:id="rId119"/>
    <tablePart r:id="rId120"/>
    <tablePart r:id="rId121"/>
    <tablePart r:id="rId122"/>
    <tablePart r:id="rId123"/>
    <tablePart r:id="rId124"/>
    <tablePart r:id="rId125"/>
    <tablePart r:id="rId126"/>
    <tablePart r:id="rId127"/>
    <tablePart r:id="rId128"/>
    <tablePart r:id="rId129"/>
    <tablePart r:id="rId130"/>
    <tablePart r:id="rId131"/>
    <tablePart r:id="rId132"/>
    <tablePart r:id="rId133"/>
    <tablePart r:id="rId134"/>
    <tablePart r:id="rId135"/>
    <tablePart r:id="rId136"/>
    <tablePart r:id="rId137"/>
    <tablePart r:id="rId138"/>
    <tablePart r:id="rId139"/>
    <tablePart r:id="rId140"/>
    <tablePart r:id="rId141"/>
    <tablePart r:id="rId142"/>
    <tablePart r:id="rId143"/>
    <tablePart r:id="rId144"/>
    <tablePart r:id="rId145"/>
    <tablePart r:id="rId146"/>
    <tablePart r:id="rId147"/>
    <tablePart r:id="rId148"/>
    <tablePart r:id="rId149"/>
    <tablePart r:id="rId150"/>
    <tablePart r:id="rId151"/>
    <tablePart r:id="rId152"/>
    <tablePart r:id="rId153"/>
    <tablePart r:id="rId154"/>
    <tablePart r:id="rId155"/>
    <tablePart r:id="rId156"/>
    <tablePart r:id="rId157"/>
    <tablePart r:id="rId158"/>
    <tablePart r:id="rId159"/>
    <tablePart r:id="rId160"/>
    <tablePart r:id="rId16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T2 </vt:lpstr>
      <vt:lpstr>Master 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Priya Singh</dc:creator>
  <cp:lastModifiedBy>Tripti Rai</cp:lastModifiedBy>
  <dcterms:created xsi:type="dcterms:W3CDTF">2025-07-02T05:47:43Z</dcterms:created>
  <dcterms:modified xsi:type="dcterms:W3CDTF">2026-01-12T03:47:24Z</dcterms:modified>
</cp:coreProperties>
</file>